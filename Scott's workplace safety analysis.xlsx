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ecc67d811cc39526/Documents/"/>
    </mc:Choice>
  </mc:AlternateContent>
  <xr:revisionPtr revIDLastSave="547" documentId="8_{2359C9E2-BBB4-4C26-9D96-CD651CF2F6DC}" xr6:coauthVersionLast="47" xr6:coauthVersionMax="47" xr10:uidLastSave="{F7305FA6-62F0-429E-9980-4C19DE130532}"/>
  <bookViews>
    <workbookView xWindow="-108" yWindow="-108" windowWidth="30936" windowHeight="16776" activeTab="2" xr2:uid="{9D450B37-D61C-46B7-93B5-943A1504F264}"/>
  </bookViews>
  <sheets>
    <sheet name="Dashboard" sheetId="3" r:id="rId1"/>
    <sheet name="Cleaned Data" sheetId="1" r:id="rId2"/>
    <sheet name="Summary statistics" sheetId="8" r:id="rId3"/>
    <sheet name="Correlation Matrix" sheetId="9" r:id="rId4"/>
  </sheets>
  <definedNames>
    <definedName name="_xlchart.v1.0" hidden="1">'Cleaned Data'!$C$2:$C$52</definedName>
    <definedName name="_xlchart.v1.1" hidden="1">'Cleaned Data'!$C$2:$C$52</definedName>
    <definedName name="_xlchart.v1.2" hidden="1">'Cleaned Data'!$C$2:$C$52</definedName>
    <definedName name="Slicer_Risk_Category">#N/A</definedName>
    <definedName name="Slicer_State">#N/A</definedName>
    <definedName name="Slicer_State_or_Federal_Program">#N/A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E13" i="1"/>
</calcChain>
</file>

<file path=xl/sharedStrings.xml><?xml version="1.0" encoding="utf-8"?>
<sst xmlns="http://schemas.openxmlformats.org/spreadsheetml/2006/main" count="211" uniqueCount="84">
  <si>
    <t>State</t>
  </si>
  <si>
    <t>Number of Fatalities, 2012</t>
  </si>
  <si>
    <t>Rate of Fatalities, 2012</t>
  </si>
  <si>
    <t>State Rank, Fatalities 2012</t>
  </si>
  <si>
    <t>Number of Injuries/Illnesses 2012</t>
  </si>
  <si>
    <t>Injuries/Illnesses 2012 Rate</t>
  </si>
  <si>
    <t>Penalties FY 2013 (Average $)</t>
  </si>
  <si>
    <t>Penalties FY 2013 (Rank)</t>
  </si>
  <si>
    <t>Inspectors</t>
  </si>
  <si>
    <t>Years to Inspect Each Workplace Once</t>
  </si>
  <si>
    <t>State or Federal Program</t>
  </si>
  <si>
    <t>Federal</t>
  </si>
  <si>
    <t>ND</t>
  </si>
  <si>
    <t>WY</t>
  </si>
  <si>
    <t>AK</t>
  </si>
  <si>
    <t>MT</t>
  </si>
  <si>
    <t>WV</t>
  </si>
  <si>
    <t>SD</t>
  </si>
  <si>
    <t>IA</t>
  </si>
  <si>
    <t>LA</t>
  </si>
  <si>
    <t>OK</t>
  </si>
  <si>
    <t>KS</t>
  </si>
  <si>
    <t>MS</t>
  </si>
  <si>
    <t>AR</t>
  </si>
  <si>
    <t>NB</t>
  </si>
  <si>
    <t>KY</t>
  </si>
  <si>
    <t>NM</t>
  </si>
  <si>
    <t>TX</t>
  </si>
  <si>
    <t>AL</t>
  </si>
  <si>
    <t>IN</t>
  </si>
  <si>
    <t>WI</t>
  </si>
  <si>
    <t>TN</t>
  </si>
  <si>
    <t>VA</t>
  </si>
  <si>
    <t>NV</t>
  </si>
  <si>
    <t>SC</t>
  </si>
  <si>
    <t>NC</t>
  </si>
  <si>
    <t>VT</t>
  </si>
  <si>
    <t>CO</t>
  </si>
  <si>
    <t>HI</t>
  </si>
  <si>
    <t>MI</t>
  </si>
  <si>
    <t>PA</t>
  </si>
  <si>
    <t>US</t>
  </si>
  <si>
    <t>MO</t>
  </si>
  <si>
    <t>ME</t>
  </si>
  <si>
    <t>DE</t>
  </si>
  <si>
    <t>OH</t>
  </si>
  <si>
    <t>UT</t>
  </si>
  <si>
    <t>FL</t>
  </si>
  <si>
    <t>ID</t>
  </si>
  <si>
    <t>MD</t>
  </si>
  <si>
    <t>OR</t>
  </si>
  <si>
    <t>MN</t>
  </si>
  <si>
    <t>IL</t>
  </si>
  <si>
    <t>GA</t>
  </si>
  <si>
    <t>NY</t>
  </si>
  <si>
    <t>NJ</t>
  </si>
  <si>
    <t>AZ</t>
  </si>
  <si>
    <t>CA</t>
  </si>
  <si>
    <t>NH</t>
  </si>
  <si>
    <t>WA</t>
  </si>
  <si>
    <t>CT</t>
  </si>
  <si>
    <t>RI</t>
  </si>
  <si>
    <t>MA</t>
  </si>
  <si>
    <t>Row Labels</t>
  </si>
  <si>
    <t>Grand Total</t>
  </si>
  <si>
    <t>Risk Category</t>
  </si>
  <si>
    <t>count</t>
  </si>
  <si>
    <t>mean</t>
  </si>
  <si>
    <t>std</t>
  </si>
  <si>
    <t>min</t>
  </si>
  <si>
    <t>25%</t>
  </si>
  <si>
    <t>50%</t>
  </si>
  <si>
    <t>75%</t>
  </si>
  <si>
    <t>max</t>
  </si>
  <si>
    <t>Workplace Safety Analysis: U.S. States (2012)</t>
  </si>
  <si>
    <t>Fatalities, injuries, inspections, and enforcement patterns</t>
  </si>
  <si>
    <t>Average of Rate of Fatalities, 2012</t>
  </si>
  <si>
    <t>Average of Injuries/Illnesses 2012 Rate</t>
  </si>
  <si>
    <t>Average of Penalties FY 2013 (Average $)</t>
  </si>
  <si>
    <t>Average of Years to Inspect Each Workplace Once</t>
  </si>
  <si>
    <t>CORRELATION MATRIX OF WORKPLACE SAFETY VARIABLES</t>
  </si>
  <si>
    <t>Low</t>
  </si>
  <si>
    <t>Moderate</t>
  </si>
  <si>
    <t>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</si>
</sst>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quot;$&quot;#,##0"/>
    <numFmt numFmtId="166" formatCode="&quot;$&quot;#,##0.0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6"/>
      <color theme="1"/>
      <name val="Aptos Narrow"/>
      <family val="2"/>
      <scheme val="minor"/>
    </font>
    <font>
      <b/>
      <sz val="12"/>
      <color theme="1"/>
      <name val="Aptos Narrow"/>
      <family val="2"/>
      <scheme val="minor"/>
    </font>
    <font>
      <b/>
      <u/>
      <sz val="11"/>
      <color theme="1"/>
      <name val="Aptos Narrow"/>
      <family val="2"/>
      <scheme val="minor"/>
    </font>
    <font>
      <b/>
      <u/>
      <sz val="16"/>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0" fontId="0" fillId="0" borderId="0" xfId="0" applyAlignment="1">
      <alignment wrapText="1"/>
    </xf>
    <xf numFmtId="0" fontId="0" fillId="0" borderId="0" xfId="0" pivotButton="1"/>
    <xf numFmtId="0" fontId="0" fillId="0" borderId="0" xfId="0" applyAlignment="1">
      <alignment horizontal="left"/>
    </xf>
    <xf numFmtId="0" fontId="18" fillId="0" borderId="0" xfId="0" applyFont="1"/>
    <xf numFmtId="164" fontId="0" fillId="0" borderId="0" xfId="0" applyNumberFormat="1"/>
    <xf numFmtId="165" fontId="0" fillId="0" borderId="0" xfId="0" applyNumberFormat="1"/>
    <xf numFmtId="1" fontId="0" fillId="0" borderId="0" xfId="0" applyNumberFormat="1"/>
    <xf numFmtId="0" fontId="19" fillId="0" borderId="0" xfId="0" applyFont="1"/>
    <xf numFmtId="0" fontId="19" fillId="0" borderId="10" xfId="0" applyFont="1" applyBorder="1"/>
    <xf numFmtId="0" fontId="19" fillId="0" borderId="11" xfId="0" applyFont="1" applyBorder="1"/>
    <xf numFmtId="0" fontId="19" fillId="0" borderId="12" xfId="0" applyFont="1" applyBorder="1"/>
    <xf numFmtId="0" fontId="0" fillId="0" borderId="13" xfId="0" applyBorder="1"/>
    <xf numFmtId="0" fontId="0" fillId="0" borderId="14" xfId="0" applyBorder="1"/>
    <xf numFmtId="0" fontId="0" fillId="0" borderId="16" xfId="0" applyBorder="1"/>
    <xf numFmtId="0" fontId="0" fillId="0" borderId="17" xfId="0" applyBorder="1"/>
    <xf numFmtId="0" fontId="0" fillId="0" borderId="0" xfId="0" applyAlignment="1">
      <alignment horizontal="center"/>
    </xf>
    <xf numFmtId="0" fontId="0" fillId="0" borderId="0" xfId="0" applyAlignment="1">
      <alignment horizontal="center" vertical="center"/>
    </xf>
    <xf numFmtId="2" fontId="0" fillId="0" borderId="0" xfId="0" applyNumberFormat="1" applyAlignment="1">
      <alignment horizontal="center"/>
    </xf>
    <xf numFmtId="0" fontId="16" fillId="0" borderId="0" xfId="0" applyFont="1" applyAlignment="1">
      <alignment horizontal="center"/>
    </xf>
    <xf numFmtId="0" fontId="21" fillId="0" borderId="0" xfId="0" applyFont="1"/>
    <xf numFmtId="0" fontId="16" fillId="0" borderId="0" xfId="0" applyFont="1" applyAlignment="1">
      <alignment horizontal="right"/>
    </xf>
    <xf numFmtId="0" fontId="20" fillId="0" borderId="13" xfId="0" applyFont="1" applyBorder="1"/>
    <xf numFmtId="0" fontId="20" fillId="0" borderId="15" xfId="0" applyFont="1" applyBorder="1"/>
    <xf numFmtId="16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166" formatCode="&quot;$&quot;#,##0.00"/>
    </dxf>
    <dxf>
      <alignment horizontal="general" vertical="bottom" textRotation="0" wrapText="1" indent="0" justifyLastLine="0" shrinkToFit="0" readingOrder="0"/>
    </dxf>
    <dxf>
      <numFmt numFmtId="164" formatCode="0.0"/>
    </dxf>
    <dxf>
      <numFmt numFmtId="1" formatCode="0"/>
    </dxf>
    <dxf>
      <numFmt numFmtId="165" formatCode="&quot;$&quot;#,##0"/>
    </dxf>
    <dxf>
      <numFmt numFmtId="164" formatCode="0.0"/>
    </dxf>
    <dxf>
      <numFmt numFmtId="164" formatCode="0.0"/>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Inspection Coverage vs Workplace Fatality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'Cleaned Data'!$J$1</c:f>
              <c:strCache>
                <c:ptCount val="1"/>
                <c:pt idx="0">
                  <c:v>Years to Inspect Each Workplace Once</c:v>
                </c:pt>
              </c:strCache>
            </c:strRef>
          </c:tx>
          <c:spPr>
            <a:ln w="38100" cap="rnd">
              <a:noFill/>
              <a:round/>
            </a:ln>
            <a:effectLst/>
          </c:spPr>
          <c:marker>
            <c:symbol val="circle"/>
            <c:size val="5"/>
            <c:spPr>
              <a:solidFill>
                <a:schemeClr val="accent2"/>
              </a:solidFill>
              <a:ln w="9525">
                <a:solidFill>
                  <a:schemeClr val="accent2"/>
                </a:solidFill>
              </a:ln>
              <a:effectLst/>
            </c:spPr>
          </c:marker>
          <c:trendline>
            <c:spPr>
              <a:ln w="19050" cap="rnd">
                <a:solidFill>
                  <a:schemeClr val="accent2"/>
                </a:solidFill>
                <a:prstDash val="sysDot"/>
              </a:ln>
              <a:effectLst/>
            </c:spPr>
            <c:trendlineType val="linear"/>
            <c:dispRSqr val="0"/>
            <c:dispEq val="0"/>
          </c:trendline>
          <c:xVal>
            <c:numRef>
              <c:f>'Cleaned Data'!$C$2:$C$57</c:f>
              <c:numCache>
                <c:formatCode>General</c:formatCode>
                <c:ptCount val="56"/>
                <c:pt idx="0">
                  <c:v>6.4</c:v>
                </c:pt>
                <c:pt idx="1">
                  <c:v>6.1</c:v>
                </c:pt>
                <c:pt idx="2">
                  <c:v>6.6</c:v>
                </c:pt>
                <c:pt idx="3">
                  <c:v>17.7</c:v>
                </c:pt>
                <c:pt idx="4">
                  <c:v>6.9</c:v>
                </c:pt>
                <c:pt idx="5">
                  <c:v>12.2</c:v>
                </c:pt>
                <c:pt idx="6">
                  <c:v>7.3</c:v>
                </c:pt>
                <c:pt idx="7">
                  <c:v>6.7</c:v>
                </c:pt>
                <c:pt idx="8">
                  <c:v>8.9</c:v>
                </c:pt>
                <c:pt idx="9">
                  <c:v>3.4</c:v>
                </c:pt>
                <c:pt idx="10">
                  <c:v>2.2999999999999998</c:v>
                </c:pt>
                <c:pt idx="11">
                  <c:v>2.7</c:v>
                </c:pt>
                <c:pt idx="12">
                  <c:v>2.4</c:v>
                </c:pt>
                <c:pt idx="13">
                  <c:v>3.4</c:v>
                </c:pt>
                <c:pt idx="14">
                  <c:v>3.1</c:v>
                </c:pt>
                <c:pt idx="15">
                  <c:v>3.8</c:v>
                </c:pt>
                <c:pt idx="16">
                  <c:v>2.5</c:v>
                </c:pt>
                <c:pt idx="17">
                  <c:v>3.5</c:v>
                </c:pt>
                <c:pt idx="18">
                  <c:v>3.4</c:v>
                </c:pt>
                <c:pt idx="19">
                  <c:v>4</c:v>
                </c:pt>
                <c:pt idx="20">
                  <c:v>2.5</c:v>
                </c:pt>
                <c:pt idx="21">
                  <c:v>3.8</c:v>
                </c:pt>
                <c:pt idx="22">
                  <c:v>2.4</c:v>
                </c:pt>
                <c:pt idx="23">
                  <c:v>3.3</c:v>
                </c:pt>
                <c:pt idx="24">
                  <c:v>3.5</c:v>
                </c:pt>
                <c:pt idx="25">
                  <c:v>2.6</c:v>
                </c:pt>
                <c:pt idx="26">
                  <c:v>2.6</c:v>
                </c:pt>
                <c:pt idx="27">
                  <c:v>2.2000000000000002</c:v>
                </c:pt>
                <c:pt idx="28">
                  <c:v>3.5</c:v>
                </c:pt>
                <c:pt idx="29">
                  <c:v>2.2999999999999998</c:v>
                </c:pt>
                <c:pt idx="30">
                  <c:v>1.4</c:v>
                </c:pt>
                <c:pt idx="31">
                  <c:v>2.6</c:v>
                </c:pt>
                <c:pt idx="32">
                  <c:v>3.6</c:v>
                </c:pt>
                <c:pt idx="33">
                  <c:v>3</c:v>
                </c:pt>
                <c:pt idx="34">
                  <c:v>2.1</c:v>
                </c:pt>
                <c:pt idx="35">
                  <c:v>3.4</c:v>
                </c:pt>
                <c:pt idx="36">
                  <c:v>2.7</c:v>
                </c:pt>
                <c:pt idx="37">
                  <c:v>3.2</c:v>
                </c:pt>
                <c:pt idx="38">
                  <c:v>2.2000000000000002</c:v>
                </c:pt>
                <c:pt idx="39">
                  <c:v>3.1</c:v>
                </c:pt>
                <c:pt idx="40">
                  <c:v>3.5</c:v>
                </c:pt>
                <c:pt idx="41">
                  <c:v>1.7</c:v>
                </c:pt>
                <c:pt idx="42">
                  <c:v>4.8</c:v>
                </c:pt>
                <c:pt idx="43">
                  <c:v>4.2</c:v>
                </c:pt>
                <c:pt idx="44">
                  <c:v>4.9000000000000004</c:v>
                </c:pt>
                <c:pt idx="45">
                  <c:v>4.3</c:v>
                </c:pt>
                <c:pt idx="46">
                  <c:v>5.7</c:v>
                </c:pt>
                <c:pt idx="47">
                  <c:v>5.4</c:v>
                </c:pt>
                <c:pt idx="48">
                  <c:v>5.5</c:v>
                </c:pt>
                <c:pt idx="49">
                  <c:v>5.2</c:v>
                </c:pt>
                <c:pt idx="50">
                  <c:v>4.8</c:v>
                </c:pt>
              </c:numCache>
            </c:numRef>
          </c:xVal>
          <c:yVal>
            <c:numRef>
              <c:f>'Cleaned Data'!$J$2:$J$57</c:f>
              <c:numCache>
                <c:formatCode>General</c:formatCode>
                <c:ptCount val="56"/>
                <c:pt idx="0">
                  <c:v>206</c:v>
                </c:pt>
                <c:pt idx="1">
                  <c:v>131</c:v>
                </c:pt>
                <c:pt idx="2">
                  <c:v>98</c:v>
                </c:pt>
                <c:pt idx="3">
                  <c:v>111</c:v>
                </c:pt>
                <c:pt idx="4">
                  <c:v>173</c:v>
                </c:pt>
                <c:pt idx="5">
                  <c:v>101</c:v>
                </c:pt>
                <c:pt idx="6">
                  <c:v>135</c:v>
                </c:pt>
                <c:pt idx="7">
                  <c:v>521</c:v>
                </c:pt>
                <c:pt idx="8">
                  <c:v>58</c:v>
                </c:pt>
                <c:pt idx="9">
                  <c:v>112</c:v>
                </c:pt>
                <c:pt idx="10">
                  <c:v>179</c:v>
                </c:pt>
                <c:pt idx="11">
                  <c:v>238</c:v>
                </c:pt>
                <c:pt idx="12">
                  <c:v>184</c:v>
                </c:pt>
                <c:pt idx="13">
                  <c:v>125</c:v>
                </c:pt>
                <c:pt idx="14">
                  <c:v>112</c:v>
                </c:pt>
                <c:pt idx="15">
                  <c:v>82</c:v>
                </c:pt>
                <c:pt idx="16">
                  <c:v>137</c:v>
                </c:pt>
                <c:pt idx="17">
                  <c:v>60</c:v>
                </c:pt>
                <c:pt idx="18">
                  <c:v>45</c:v>
                </c:pt>
                <c:pt idx="19">
                  <c:v>104</c:v>
                </c:pt>
                <c:pt idx="20">
                  <c:v>138</c:v>
                </c:pt>
                <c:pt idx="21">
                  <c:v>82</c:v>
                </c:pt>
                <c:pt idx="22">
                  <c:v>123</c:v>
                </c:pt>
                <c:pt idx="23">
                  <c:v>118</c:v>
                </c:pt>
                <c:pt idx="24">
                  <c:v>122</c:v>
                </c:pt>
                <c:pt idx="25">
                  <c:v>108</c:v>
                </c:pt>
                <c:pt idx="26">
                  <c:v>57</c:v>
                </c:pt>
                <c:pt idx="27">
                  <c:v>50</c:v>
                </c:pt>
                <c:pt idx="28">
                  <c:v>111</c:v>
                </c:pt>
                <c:pt idx="29">
                  <c:v>126</c:v>
                </c:pt>
                <c:pt idx="30">
                  <c:v>123</c:v>
                </c:pt>
                <c:pt idx="31">
                  <c:v>31</c:v>
                </c:pt>
                <c:pt idx="32">
                  <c:v>49</c:v>
                </c:pt>
                <c:pt idx="33">
                  <c:v>81</c:v>
                </c:pt>
                <c:pt idx="34">
                  <c:v>107</c:v>
                </c:pt>
                <c:pt idx="35">
                  <c:v>79</c:v>
                </c:pt>
                <c:pt idx="36">
                  <c:v>108</c:v>
                </c:pt>
                <c:pt idx="37">
                  <c:v>80</c:v>
                </c:pt>
                <c:pt idx="38">
                  <c:v>119</c:v>
                </c:pt>
                <c:pt idx="39">
                  <c:v>175</c:v>
                </c:pt>
                <c:pt idx="40">
                  <c:v>68</c:v>
                </c:pt>
                <c:pt idx="41">
                  <c:v>103</c:v>
                </c:pt>
                <c:pt idx="42">
                  <c:v>136</c:v>
                </c:pt>
                <c:pt idx="43">
                  <c:v>104</c:v>
                </c:pt>
                <c:pt idx="44">
                  <c:v>124</c:v>
                </c:pt>
                <c:pt idx="45">
                  <c:v>94</c:v>
                </c:pt>
                <c:pt idx="46">
                  <c:v>110</c:v>
                </c:pt>
                <c:pt idx="47">
                  <c:v>237</c:v>
                </c:pt>
                <c:pt idx="48">
                  <c:v>112</c:v>
                </c:pt>
                <c:pt idx="49">
                  <c:v>128</c:v>
                </c:pt>
                <c:pt idx="50">
                  <c:v>191</c:v>
                </c:pt>
              </c:numCache>
            </c:numRef>
          </c:yVal>
          <c:smooth val="0"/>
          <c:extLst>
            <c:ext xmlns:c16="http://schemas.microsoft.com/office/drawing/2014/chart" uri="{C3380CC4-5D6E-409C-BE32-E72D297353CC}">
              <c16:uniqueId val="{00000000-63E0-440A-9840-E80B8B45BD98}"/>
            </c:ext>
          </c:extLst>
        </c:ser>
        <c:dLbls>
          <c:showLegendKey val="0"/>
          <c:showVal val="0"/>
          <c:showCatName val="0"/>
          <c:showSerName val="0"/>
          <c:showPercent val="0"/>
          <c:showBubbleSize val="0"/>
        </c:dLbls>
        <c:axId val="1245158095"/>
        <c:axId val="1245159055"/>
      </c:scatterChart>
      <c:valAx>
        <c:axId val="12451580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Deaths per 100K workers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159055"/>
        <c:crosses val="autoZero"/>
        <c:crossBetween val="midCat"/>
      </c:valAx>
      <c:valAx>
        <c:axId val="12451590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Years between inspections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15809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2012 Fatality Distribution</cx:v>
        </cx:txData>
      </cx:tx>
      <cx:txPr>
        <a:bodyPr spcFirstLastPara="1" vertOverflow="ellipsis" horzOverflow="overflow" wrap="square" lIns="0" tIns="0" rIns="0" bIns="0" anchor="ctr" anchorCtr="1"/>
        <a:lstStyle/>
        <a:p>
          <a:pPr algn="ctr" rtl="0">
            <a:defRPr/>
          </a:pPr>
          <a:r>
            <a:rPr lang="en-US" sz="1600" b="0" i="0" u="none" strike="noStrike" baseline="0">
              <a:solidFill>
                <a:sysClr val="windowText" lastClr="000000">
                  <a:lumMod val="65000"/>
                  <a:lumOff val="35000"/>
                </a:sysClr>
              </a:solidFill>
              <a:latin typeface="Aptos Narrow" panose="02110004020202020204"/>
            </a:rPr>
            <a:t>2012 Fatality Distribution</a:t>
          </a:r>
        </a:p>
      </cx:txPr>
    </cx:title>
    <cx:plotArea>
      <cx:plotAreaRegion>
        <cx:series layoutId="clusteredColumn" uniqueId="{C4474E09-2852-4DB4-B6FC-C95830003DC5}">
          <cx:dataLabels pos="inEnd">
            <cx:visibility seriesName="0" categoryName="0" value="1"/>
          </cx:dataLabels>
          <cx:dataId val="0"/>
          <cx:layoutPr>
            <cx:binning intervalClosed="r"/>
          </cx:layoutPr>
        </cx:series>
      </cx:plotAreaRegion>
      <cx:axis id="0">
        <cx:catScaling gapWidth="0"/>
        <cx:title>
          <cx:tx>
            <cx:txData>
              <cx:v>Deaths per 100K workers</cx:v>
            </cx:txData>
          </cx:tx>
          <cx:txPr>
            <a:bodyPr spcFirstLastPara="1" vertOverflow="ellipsis" horzOverflow="overflow" wrap="square" lIns="0" tIns="0" rIns="0" bIns="0" anchor="ctr" anchorCtr="1"/>
            <a:lstStyle/>
            <a:p>
              <a:pPr algn="ctr" rtl="0">
                <a:defRPr/>
              </a:pPr>
              <a:r>
                <a:rPr lang="en-US" sz="900" b="1" i="0" u="sng" strike="noStrike" baseline="0">
                  <a:solidFill>
                    <a:sysClr val="windowText" lastClr="000000">
                      <a:lumMod val="65000"/>
                      <a:lumOff val="35000"/>
                    </a:sysClr>
                  </a:solidFill>
                  <a:latin typeface="Aptos Narrow" panose="02110004020202020204"/>
                </a:rPr>
                <a:t>Deaths per 100K workers</a:t>
              </a:r>
            </a:p>
          </cx:txPr>
        </cx:title>
        <cx:tickLabels/>
      </cx:axis>
      <cx:axis id="1">
        <cx:valScaling/>
        <cx:title>
          <cx:tx>
            <cx:rich>
              <a:bodyPr spcFirstLastPara="1" vertOverflow="ellipsis" horzOverflow="overflow" wrap="square" lIns="0" tIns="0" rIns="0" bIns="0" anchor="ctr" anchorCtr="1"/>
              <a:lstStyle/>
              <a:p>
                <a:pPr algn="ctr" rtl="0">
                  <a:defRPr/>
                </a:pPr>
                <a:r>
                  <a:rPr lang="en-US" sz="900" b="1" i="0" u="sng" strike="noStrike" baseline="0">
                    <a:solidFill>
                      <a:sysClr val="windowText" lastClr="000000">
                        <a:lumMod val="65000"/>
                        <a:lumOff val="35000"/>
                      </a:sysClr>
                    </a:solidFill>
                    <a:latin typeface="Aptos Narrow" panose="02110004020202020204"/>
                  </a:rPr>
                  <a:t>Number of states</a:t>
                </a:r>
              </a:p>
              <a:p>
                <a:pPr algn="ctr" rtl="0">
                  <a:defRPr/>
                </a:pPr>
                <a:endParaRPr lang="en-US" sz="900" b="0" i="0" u="none" strike="noStrike" baseline="0">
                  <a:solidFill>
                    <a:sysClr val="windowText" lastClr="000000">
                      <a:lumMod val="65000"/>
                      <a:lumOff val="35000"/>
                    </a:sysClr>
                  </a:solidFill>
                  <a:latin typeface="Aptos Narrow" panose="02110004020202020204"/>
                </a:endParaRPr>
              </a:p>
            </cx:rich>
          </cx:tx>
        </cx:title>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121920</xdr:colOff>
      <xdr:row>17</xdr:row>
      <xdr:rowOff>144780</xdr:rowOff>
    </xdr:from>
    <xdr:to>
      <xdr:col>1</xdr:col>
      <xdr:colOff>1097280</xdr:colOff>
      <xdr:row>31</xdr:row>
      <xdr:rowOff>165735</xdr:rowOff>
    </xdr:to>
    <mc:AlternateContent xmlns:mc="http://schemas.openxmlformats.org/markup-compatibility/2006">
      <mc:Choice xmlns:a14="http://schemas.microsoft.com/office/drawing/2010/main" Requires="a14">
        <xdr:graphicFrame macro="">
          <xdr:nvGraphicFramePr>
            <xdr:cNvPr id="4" name="State 1">
              <a:extLst>
                <a:ext uri="{FF2B5EF4-FFF2-40B4-BE49-F238E27FC236}">
                  <a16:creationId xmlns:a16="http://schemas.microsoft.com/office/drawing/2014/main" id="{AA012BA4-EE51-8922-4833-85A6FC6BD28A}"/>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121920" y="33375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137160</xdr:colOff>
      <xdr:row>11</xdr:row>
      <xdr:rowOff>175261</xdr:rowOff>
    </xdr:from>
    <xdr:to>
      <xdr:col>2</xdr:col>
      <xdr:colOff>1082040</xdr:colOff>
      <xdr:row>16</xdr:row>
      <xdr:rowOff>167640</xdr:rowOff>
    </xdr:to>
    <mc:AlternateContent xmlns:mc="http://schemas.openxmlformats.org/markup-compatibility/2006">
      <mc:Choice xmlns:a14="http://schemas.microsoft.com/office/drawing/2010/main" Requires="a14">
        <xdr:graphicFrame macro="">
          <xdr:nvGraphicFramePr>
            <xdr:cNvPr id="5" name="State or Federal Program 1">
              <a:extLst>
                <a:ext uri="{FF2B5EF4-FFF2-40B4-BE49-F238E27FC236}">
                  <a16:creationId xmlns:a16="http://schemas.microsoft.com/office/drawing/2014/main" id="{D5ACA07B-0797-DD9D-A292-08AEE44F2824}"/>
                </a:ext>
              </a:extLst>
            </xdr:cNvPr>
            <xdr:cNvGraphicFramePr/>
          </xdr:nvGraphicFramePr>
          <xdr:xfrm>
            <a:off x="0" y="0"/>
            <a:ext cx="0" cy="0"/>
          </xdr:xfrm>
          <a:graphic>
            <a:graphicData uri="http://schemas.microsoft.com/office/drawing/2010/slicer">
              <sle:slicer xmlns:sle="http://schemas.microsoft.com/office/drawing/2010/slicer" name="State or Federal Program 1"/>
            </a:graphicData>
          </a:graphic>
        </xdr:graphicFrame>
      </mc:Choice>
      <mc:Fallback>
        <xdr:sp macro="" textlink="">
          <xdr:nvSpPr>
            <xdr:cNvPr id="0" name=""/>
            <xdr:cNvSpPr>
              <a:spLocks noTextEdit="1"/>
            </xdr:cNvSpPr>
          </xdr:nvSpPr>
          <xdr:spPr>
            <a:xfrm>
              <a:off x="137160" y="2270761"/>
              <a:ext cx="3787140" cy="9067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1242060</xdr:colOff>
      <xdr:row>17</xdr:row>
      <xdr:rowOff>121921</xdr:rowOff>
    </xdr:from>
    <xdr:to>
      <xdr:col>2</xdr:col>
      <xdr:colOff>1082040</xdr:colOff>
      <xdr:row>24</xdr:row>
      <xdr:rowOff>76201</xdr:rowOff>
    </xdr:to>
    <mc:AlternateContent xmlns:mc="http://schemas.openxmlformats.org/markup-compatibility/2006">
      <mc:Choice xmlns:a14="http://schemas.microsoft.com/office/drawing/2010/main" Requires="a14">
        <xdr:graphicFrame macro="">
          <xdr:nvGraphicFramePr>
            <xdr:cNvPr id="6" name="Risk Category">
              <a:extLst>
                <a:ext uri="{FF2B5EF4-FFF2-40B4-BE49-F238E27FC236}">
                  <a16:creationId xmlns:a16="http://schemas.microsoft.com/office/drawing/2014/main" id="{0728E899-6D76-2BBB-782B-EF19CD57F337}"/>
                </a:ext>
              </a:extLst>
            </xdr:cNvPr>
            <xdr:cNvGraphicFramePr/>
          </xdr:nvGraphicFramePr>
          <xdr:xfrm>
            <a:off x="0" y="0"/>
            <a:ext cx="0" cy="0"/>
          </xdr:xfrm>
          <a:graphic>
            <a:graphicData uri="http://schemas.microsoft.com/office/drawing/2010/slicer">
              <sle:slicer xmlns:sle="http://schemas.microsoft.com/office/drawing/2010/slicer" name="Risk Category"/>
            </a:graphicData>
          </a:graphic>
        </xdr:graphicFrame>
      </mc:Choice>
      <mc:Fallback>
        <xdr:sp macro="" textlink="">
          <xdr:nvSpPr>
            <xdr:cNvPr id="0" name=""/>
            <xdr:cNvSpPr>
              <a:spLocks noTextEdit="1"/>
            </xdr:cNvSpPr>
          </xdr:nvSpPr>
          <xdr:spPr>
            <a:xfrm>
              <a:off x="2095500" y="3314701"/>
              <a:ext cx="1828800" cy="1234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106680</xdr:colOff>
      <xdr:row>8</xdr:row>
      <xdr:rowOff>19050</xdr:rowOff>
    </xdr:from>
    <xdr:to>
      <xdr:col>3</xdr:col>
      <xdr:colOff>495300</xdr:colOff>
      <xdr:row>11</xdr:row>
      <xdr:rowOff>99060</xdr:rowOff>
    </xdr:to>
    <xdr:sp macro="" textlink="">
      <xdr:nvSpPr>
        <xdr:cNvPr id="8" name="TextBox 7">
          <a:extLst>
            <a:ext uri="{FF2B5EF4-FFF2-40B4-BE49-F238E27FC236}">
              <a16:creationId xmlns:a16="http://schemas.microsoft.com/office/drawing/2014/main" id="{F8D96E4A-0C91-ED5C-E1A0-BDDC4064B4D3}"/>
            </a:ext>
          </a:extLst>
        </xdr:cNvPr>
        <xdr:cNvSpPr txBox="1"/>
      </xdr:nvSpPr>
      <xdr:spPr>
        <a:xfrm>
          <a:off x="106680" y="1565910"/>
          <a:ext cx="5494020" cy="628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North Dakota has the highest workplace fatality rate.</a:t>
          </a:r>
        </a:p>
        <a:p>
          <a:r>
            <a:rPr lang="en-US"/>
            <a:t>States with longer inspection cycles tend to have somewhat higher fatality rates.</a:t>
          </a:r>
        </a:p>
        <a:p>
          <a:r>
            <a:rPr lang="en-US"/>
            <a:t>High-risk industry states dominate the top fatality rankings.</a:t>
          </a:r>
        </a:p>
        <a:p>
          <a:endParaRPr lang="en-US" sz="1100"/>
        </a:p>
      </xdr:txBody>
    </xdr:sp>
    <xdr:clientData/>
  </xdr:twoCellAnchor>
  <xdr:oneCellAnchor>
    <xdr:from>
      <xdr:col>3</xdr:col>
      <xdr:colOff>266700</xdr:colOff>
      <xdr:row>20</xdr:row>
      <xdr:rowOff>160020</xdr:rowOff>
    </xdr:from>
    <xdr:ext cx="3903291" cy="264560"/>
    <xdr:sp macro="" textlink="">
      <xdr:nvSpPr>
        <xdr:cNvPr id="9" name="TextBox 8">
          <a:extLst>
            <a:ext uri="{FF2B5EF4-FFF2-40B4-BE49-F238E27FC236}">
              <a16:creationId xmlns:a16="http://schemas.microsoft.com/office/drawing/2014/main" id="{7BF46E25-48E8-08A4-8B4E-C1F3F0AAF2BF}"/>
            </a:ext>
          </a:extLst>
        </xdr:cNvPr>
        <xdr:cNvSpPr txBox="1"/>
      </xdr:nvSpPr>
      <xdr:spPr>
        <a:xfrm>
          <a:off x="5372100" y="3901440"/>
          <a:ext cx="390329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twoCellAnchor>
    <xdr:from>
      <xdr:col>3</xdr:col>
      <xdr:colOff>662940</xdr:colOff>
      <xdr:row>7</xdr:row>
      <xdr:rowOff>175260</xdr:rowOff>
    </xdr:from>
    <xdr:to>
      <xdr:col>4</xdr:col>
      <xdr:colOff>2872740</xdr:colOff>
      <xdr:row>26</xdr:row>
      <xdr:rowOff>22860</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E6120CD1-886F-4680-8BB8-55A737BCB18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768340" y="1539240"/>
              <a:ext cx="4572000" cy="33223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476250</xdr:colOff>
      <xdr:row>60</xdr:row>
      <xdr:rowOff>102870</xdr:rowOff>
    </xdr:from>
    <xdr:to>
      <xdr:col>4</xdr:col>
      <xdr:colOff>34290</xdr:colOff>
      <xdr:row>75</xdr:row>
      <xdr:rowOff>102870</xdr:rowOff>
    </xdr:to>
    <xdr:graphicFrame macro="">
      <xdr:nvGraphicFramePr>
        <xdr:cNvPr id="3" name="Chart 2">
          <a:extLst>
            <a:ext uri="{FF2B5EF4-FFF2-40B4-BE49-F238E27FC236}">
              <a16:creationId xmlns:a16="http://schemas.microsoft.com/office/drawing/2014/main" id="{2C170F7B-61D7-AD58-9310-1332683A3F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61</xdr:row>
      <xdr:rowOff>0</xdr:rowOff>
    </xdr:from>
    <xdr:to>
      <xdr:col>5</xdr:col>
      <xdr:colOff>304800</xdr:colOff>
      <xdr:row>62</xdr:row>
      <xdr:rowOff>121920</xdr:rowOff>
    </xdr:to>
    <xdr:sp macro="" textlink="">
      <xdr:nvSpPr>
        <xdr:cNvPr id="1026" name="AutoShape 2" descr="Output image">
          <a:extLst>
            <a:ext uri="{FF2B5EF4-FFF2-40B4-BE49-F238E27FC236}">
              <a16:creationId xmlns:a16="http://schemas.microsoft.com/office/drawing/2014/main" id="{69BC6DB7-E498-6CAA-9B4B-E1816F9FB72D}"/>
            </a:ext>
          </a:extLst>
        </xdr:cNvPr>
        <xdr:cNvSpPr>
          <a:spLocks noChangeAspect="1" noChangeArrowheads="1"/>
        </xdr:cNvSpPr>
      </xdr:nvSpPr>
      <xdr:spPr bwMode="auto">
        <a:xfrm>
          <a:off x="7680960" y="111556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cott Kurland" refreshedDate="46095.500907754627" createdVersion="8" refreshedVersion="8" minRefreshableVersion="3" recordCount="51" xr:uid="{9D3BE1D6-841C-48C1-9E2A-70E4D8B5F386}">
  <cacheSource type="worksheet">
    <worksheetSource name="Table2"/>
  </cacheSource>
  <cacheFields count="12">
    <cacheField name="State" numFmtId="0">
      <sharedItems count="51">
        <s v="MA"/>
        <s v="RI"/>
        <s v="CT"/>
        <s v="NH"/>
        <s v="WA"/>
        <s v="CA"/>
        <s v="AZ"/>
        <s v="NJ"/>
        <s v="NY"/>
        <s v="GA"/>
        <s v="IL"/>
        <s v="MN"/>
        <s v="MD"/>
        <s v="OR"/>
        <s v="FL"/>
        <s v="ID"/>
        <s v="UT"/>
        <s v="DE"/>
        <s v="OH"/>
        <s v="ME"/>
        <s v="MO"/>
        <s v="HI"/>
        <s v="MI"/>
        <s v="PA"/>
        <s v="US"/>
        <s v="CO"/>
        <s v="VT"/>
        <s v="NC"/>
        <s v="SC"/>
        <s v="NV"/>
        <s v="TN"/>
        <s v="VA"/>
        <s v="WI"/>
        <s v="IN"/>
        <s v="AL"/>
        <s v="NM"/>
        <s v="TX"/>
        <s v="KY"/>
        <s v="NB"/>
        <s v="AR"/>
        <s v="MS"/>
        <s v="KS"/>
        <s v="OK"/>
        <s v="LA"/>
        <s v="IA"/>
        <s v="SD"/>
        <s v="WV"/>
        <s v="MT"/>
        <s v="AK"/>
        <s v="WY"/>
        <s v="ND"/>
      </sharedItems>
    </cacheField>
    <cacheField name="Number of Fatalities, 2012" numFmtId="0">
      <sharedItems containsSemiMixedTypes="0" containsString="0" containsNumber="1" containsInteger="1" minValue="8" maxValue="2814"/>
    </cacheField>
    <cacheField name="Rate of Fatalities, 2012" numFmtId="0">
      <sharedItems containsSemiMixedTypes="0" containsString="0" containsNumber="1" minValue="1.4" maxValue="17.7"/>
    </cacheField>
    <cacheField name="State Rank, Fatalities 2012" numFmtId="0">
      <sharedItems containsSemiMixedTypes="0" containsString="0" containsNumber="1" containsInteger="1" minValue="1" maxValue="50"/>
    </cacheField>
    <cacheField name="Number of Injuries/Illnesses 2012" numFmtId="0">
      <sharedItems containsSemiMixedTypes="0" containsString="0" containsNumber="1" containsInteger="1" minValue="6500" maxValue="1761200"/>
    </cacheField>
    <cacheField name="Injuries/Illnesses 2012 Rate" numFmtId="0">
      <sharedItems containsSemiMixedTypes="0" containsString="0" containsNumber="1" minValue="2.2999999999999998" maxValue="5.6"/>
    </cacheField>
    <cacheField name="Penalties FY 2013 (Average $)" numFmtId="0">
      <sharedItems containsSemiMixedTypes="0" containsString="0" containsNumber="1" containsInteger="1" minValue="363" maxValue="59071"/>
    </cacheField>
    <cacheField name="Penalties FY 2013 (Rank)" numFmtId="0">
      <sharedItems containsSemiMixedTypes="0" containsString="0" containsNumber="1" containsInteger="1" minValue="0" maxValue="50"/>
    </cacheField>
    <cacheField name="Inspectors" numFmtId="0">
      <sharedItems containsSemiMixedTypes="0" containsString="0" containsNumber="1" containsInteger="1" minValue="5" maxValue="901"/>
    </cacheField>
    <cacheField name="Years to Inspect Each Workplace Once" numFmtId="0">
      <sharedItems containsSemiMixedTypes="0" containsString="0" containsNumber="1" containsInteger="1" minValue="31" maxValue="521"/>
    </cacheField>
    <cacheField name="State or Federal Program" numFmtId="0">
      <sharedItems count="2">
        <s v="Federal"/>
        <s v="State"/>
      </sharedItems>
    </cacheField>
    <cacheField name="Risk Category" numFmtId="0">
      <sharedItems count="3">
        <s v="Low Risk"/>
        <s v="Moderate Risk"/>
        <s v="High Risk"/>
      </sharedItems>
    </cacheField>
  </cacheFields>
  <extLst>
    <ext xmlns:x14="http://schemas.microsoft.com/office/spreadsheetml/2009/9/main" uri="{725AE2AE-9491-48be-B2B4-4EB974FC3084}">
      <x14:pivotCacheDefinition pivotCacheId="3374655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1">
  <r>
    <x v="0"/>
    <n v="44"/>
    <n v="1.4"/>
    <n v="1"/>
    <n v="69700"/>
    <n v="3.1"/>
    <n v="1929"/>
    <n v="21"/>
    <n v="33"/>
    <n v="123"/>
    <x v="0"/>
    <x v="0"/>
  </r>
  <r>
    <x v="1"/>
    <n v="8"/>
    <n v="1.7"/>
    <n v="2"/>
    <n v="45600"/>
    <n v="3.5"/>
    <n v="2023"/>
    <n v="16"/>
    <n v="7"/>
    <n v="103"/>
    <x v="0"/>
    <x v="0"/>
  </r>
  <r>
    <x v="2"/>
    <n v="36"/>
    <n v="2.1"/>
    <n v="3"/>
    <n v="43800"/>
    <n v="3.9"/>
    <n v="1735"/>
    <n v="30"/>
    <n v="24"/>
    <n v="107"/>
    <x v="0"/>
    <x v="0"/>
  </r>
  <r>
    <x v="3"/>
    <n v="14"/>
    <n v="2.2000000000000002"/>
    <n v="4"/>
    <n v="45600"/>
    <n v="3.5"/>
    <n v="2243"/>
    <n v="8"/>
    <n v="7"/>
    <n v="119"/>
    <x v="0"/>
    <x v="0"/>
  </r>
  <r>
    <x v="4"/>
    <n v="67"/>
    <n v="2.2000000000000002"/>
    <n v="4"/>
    <n v="89300"/>
    <n v="4.8"/>
    <n v="791"/>
    <n v="42"/>
    <n v="111"/>
    <n v="50"/>
    <x v="1"/>
    <x v="0"/>
  </r>
  <r>
    <x v="5"/>
    <n v="375"/>
    <n v="2.2999999999999998"/>
    <n v="6"/>
    <n v="345400"/>
    <n v="3.5"/>
    <n v="6422"/>
    <n v="1"/>
    <n v="216"/>
    <n v="179"/>
    <x v="1"/>
    <x v="0"/>
  </r>
  <r>
    <x v="6"/>
    <n v="60"/>
    <n v="2.2999999999999998"/>
    <n v="6"/>
    <n v="54400"/>
    <n v="3.2"/>
    <n v="891"/>
    <n v="40"/>
    <n v="30"/>
    <n v="126"/>
    <x v="1"/>
    <x v="0"/>
  </r>
  <r>
    <x v="7"/>
    <n v="92"/>
    <n v="2.4"/>
    <n v="8"/>
    <n v="80900"/>
    <n v="3.1"/>
    <n v="2151"/>
    <n v="12"/>
    <n v="67"/>
    <n v="123"/>
    <x v="0"/>
    <x v="0"/>
  </r>
  <r>
    <x v="8"/>
    <n v="202"/>
    <n v="2.4"/>
    <n v="8"/>
    <n v="146300"/>
    <n v="2.5"/>
    <n v="2016"/>
    <n v="17"/>
    <n v="105"/>
    <n v="184"/>
    <x v="0"/>
    <x v="0"/>
  </r>
  <r>
    <x v="9"/>
    <n v="101"/>
    <n v="2.5"/>
    <n v="10"/>
    <n v="74800"/>
    <n v="2.8"/>
    <n v="2061"/>
    <n v="15"/>
    <n v="49"/>
    <n v="138"/>
    <x v="0"/>
    <x v="0"/>
  </r>
  <r>
    <x v="10"/>
    <n v="146"/>
    <n v="2.5"/>
    <n v="10"/>
    <n v="124900"/>
    <n v="3.2"/>
    <n v="1876"/>
    <n v="23"/>
    <n v="74"/>
    <n v="137"/>
    <x v="0"/>
    <x v="0"/>
  </r>
  <r>
    <x v="11"/>
    <n v="70"/>
    <n v="2.6"/>
    <n v="12"/>
    <n v="67500"/>
    <n v="3.8"/>
    <n v="768"/>
    <n v="44"/>
    <n v="58"/>
    <n v="57"/>
    <x v="1"/>
    <x v="0"/>
  </r>
  <r>
    <x v="12"/>
    <n v="72"/>
    <n v="2.6"/>
    <n v="12"/>
    <n v="51900"/>
    <n v="3.1"/>
    <n v="685"/>
    <n v="47"/>
    <n v="48"/>
    <n v="108"/>
    <x v="1"/>
    <x v="0"/>
  </r>
  <r>
    <x v="13"/>
    <n v="43"/>
    <n v="2.6"/>
    <n v="12"/>
    <n v="42900"/>
    <n v="3.9"/>
    <n v="363"/>
    <n v="50"/>
    <n v="75"/>
    <n v="31"/>
    <x v="1"/>
    <x v="0"/>
  </r>
  <r>
    <x v="14"/>
    <n v="218"/>
    <n v="2.7"/>
    <n v="15"/>
    <n v="67500"/>
    <n v="3.5"/>
    <n v="1821"/>
    <n v="25"/>
    <n v="60"/>
    <n v="238"/>
    <x v="0"/>
    <x v="0"/>
  </r>
  <r>
    <x v="15"/>
    <n v="19"/>
    <n v="2.7"/>
    <n v="15"/>
    <n v="45600"/>
    <n v="3.5"/>
    <n v="1449"/>
    <n v="33"/>
    <n v="9"/>
    <n v="108"/>
    <x v="0"/>
    <x v="0"/>
  </r>
  <r>
    <x v="16"/>
    <n v="39"/>
    <n v="3"/>
    <n v="17"/>
    <n v="27700"/>
    <n v="3.4"/>
    <n v="1053"/>
    <n v="35"/>
    <n v="22"/>
    <n v="81"/>
    <x v="1"/>
    <x v="0"/>
  </r>
  <r>
    <x v="17"/>
    <n v="14"/>
    <n v="3.1"/>
    <n v="18"/>
    <n v="7900"/>
    <n v="2.8"/>
    <n v="2406"/>
    <n v="6"/>
    <n v="5"/>
    <n v="175"/>
    <x v="0"/>
    <x v="0"/>
  </r>
  <r>
    <x v="18"/>
    <n v="161"/>
    <n v="3.1"/>
    <n v="18"/>
    <n v="113600"/>
    <n v="3.2"/>
    <n v="2156"/>
    <n v="11"/>
    <n v="53"/>
    <n v="112"/>
    <x v="0"/>
    <x v="0"/>
  </r>
  <r>
    <x v="19"/>
    <n v="19"/>
    <n v="3.2"/>
    <n v="20"/>
    <n v="21200"/>
    <n v="5.6"/>
    <n v="2083"/>
    <n v="14"/>
    <n v="8"/>
    <n v="80"/>
    <x v="0"/>
    <x v="0"/>
  </r>
  <r>
    <x v="20"/>
    <n v="88"/>
    <n v="3.3"/>
    <n v="21"/>
    <n v="60300"/>
    <n v="3.3"/>
    <n v="1931"/>
    <n v="20"/>
    <n v="26"/>
    <n v="118"/>
    <x v="0"/>
    <x v="0"/>
  </r>
  <r>
    <x v="21"/>
    <n v="20"/>
    <n v="3.4"/>
    <n v="22"/>
    <n v="13700"/>
    <n v="3.8"/>
    <n v="964"/>
    <n v="39"/>
    <n v="20"/>
    <n v="79"/>
    <x v="1"/>
    <x v="0"/>
  </r>
  <r>
    <x v="22"/>
    <n v="137"/>
    <n v="3.4"/>
    <n v="22"/>
    <n v="105500"/>
    <n v="4"/>
    <n v="542"/>
    <n v="48"/>
    <n v="63"/>
    <n v="45"/>
    <x v="1"/>
    <x v="0"/>
  </r>
  <r>
    <x v="23"/>
    <n v="194"/>
    <n v="3.4"/>
    <n v="22"/>
    <n v="155300"/>
    <n v="3.9"/>
    <n v="1916"/>
    <n v="22"/>
    <n v="57"/>
    <n v="125"/>
    <x v="0"/>
    <x v="0"/>
  </r>
  <r>
    <x v="24"/>
    <n v="2814"/>
    <n v="3.4"/>
    <n v="22"/>
    <n v="1761200"/>
    <n v="3.4"/>
    <n v="59071"/>
    <n v="0"/>
    <n v="901"/>
    <n v="112"/>
    <x v="0"/>
    <x v="0"/>
  </r>
  <r>
    <x v="25"/>
    <n v="82"/>
    <n v="3.5"/>
    <n v="25"/>
    <n v="45600"/>
    <n v="3.5"/>
    <n v="1649"/>
    <n v="31"/>
    <n v="28"/>
    <n v="122"/>
    <x v="0"/>
    <x v="0"/>
  </r>
  <r>
    <x v="26"/>
    <n v="11"/>
    <n v="3.5"/>
    <n v="25"/>
    <n v="9900"/>
    <n v="5"/>
    <n v="1008"/>
    <n v="36"/>
    <n v="9"/>
    <n v="68"/>
    <x v="1"/>
    <x v="0"/>
  </r>
  <r>
    <x v="27"/>
    <n v="146"/>
    <n v="3.5"/>
    <n v="25"/>
    <n v="75900"/>
    <n v="2.9"/>
    <n v="996"/>
    <n v="38"/>
    <n v="104"/>
    <n v="60"/>
    <x v="1"/>
    <x v="0"/>
  </r>
  <r>
    <x v="28"/>
    <n v="63"/>
    <n v="3.5"/>
    <n v="25"/>
    <n v="36200"/>
    <n v="3"/>
    <n v="492"/>
    <n v="49"/>
    <n v="24"/>
    <n v="111"/>
    <x v="1"/>
    <x v="0"/>
  </r>
  <r>
    <x v="29"/>
    <n v="42"/>
    <n v="3.6"/>
    <n v="29"/>
    <n v="32400"/>
    <n v="4.0999999999999996"/>
    <n v="2133"/>
    <n v="13"/>
    <n v="44"/>
    <n v="49"/>
    <x v="1"/>
    <x v="0"/>
  </r>
  <r>
    <x v="30"/>
    <n v="101"/>
    <n v="3.8"/>
    <n v="30"/>
    <n v="65100"/>
    <n v="3.5"/>
    <n v="727"/>
    <n v="45"/>
    <n v="30"/>
    <n v="82"/>
    <x v="1"/>
    <x v="0"/>
  </r>
  <r>
    <x v="31"/>
    <n v="149"/>
    <n v="3.8"/>
    <n v="30"/>
    <n v="66200"/>
    <n v="2.7"/>
    <n v="726"/>
    <n v="46"/>
    <n v="48"/>
    <n v="82"/>
    <x v="1"/>
    <x v="0"/>
  </r>
  <r>
    <x v="32"/>
    <n v="114"/>
    <n v="4"/>
    <n v="32"/>
    <n v="72900"/>
    <n v="4"/>
    <n v="2207"/>
    <n v="9"/>
    <n v="36"/>
    <n v="104"/>
    <x v="0"/>
    <x v="0"/>
  </r>
  <r>
    <x v="33"/>
    <n v="115"/>
    <n v="4.2"/>
    <n v="33"/>
    <n v="77900"/>
    <n v="3.9"/>
    <n v="1054"/>
    <n v="34"/>
    <n v="39"/>
    <n v="104"/>
    <x v="1"/>
    <x v="1"/>
  </r>
  <r>
    <x v="34"/>
    <n v="84"/>
    <n v="4.3"/>
    <n v="34"/>
    <n v="41200"/>
    <n v="3.3"/>
    <n v="1803"/>
    <n v="26"/>
    <n v="24"/>
    <n v="94"/>
    <x v="0"/>
    <x v="1"/>
  </r>
  <r>
    <x v="35"/>
    <n v="39"/>
    <n v="4.8"/>
    <n v="35"/>
    <n v="19900"/>
    <n v="3.9"/>
    <n v="998"/>
    <n v="37"/>
    <n v="9"/>
    <n v="191"/>
    <x v="1"/>
    <x v="1"/>
  </r>
  <r>
    <x v="36"/>
    <n v="536"/>
    <n v="4.8"/>
    <n v="35"/>
    <n v="203200"/>
    <n v="2.7"/>
    <n v="2187"/>
    <n v="10"/>
    <n v="98"/>
    <n v="136"/>
    <x v="0"/>
    <x v="1"/>
  </r>
  <r>
    <x v="37"/>
    <n v="91"/>
    <n v="4.9000000000000004"/>
    <n v="37"/>
    <n v="48900"/>
    <n v="4.0999999999999996"/>
    <n v="3254"/>
    <n v="2"/>
    <n v="39"/>
    <n v="124"/>
    <x v="1"/>
    <x v="1"/>
  </r>
  <r>
    <x v="38"/>
    <n v="48"/>
    <n v="5.2"/>
    <n v="38"/>
    <n v="24300"/>
    <n v="3.9"/>
    <n v="2565"/>
    <n v="5"/>
    <n v="9"/>
    <n v="128"/>
    <x v="0"/>
    <x v="1"/>
  </r>
  <r>
    <x v="39"/>
    <n v="63"/>
    <n v="5.4"/>
    <n v="39"/>
    <n v="26600"/>
    <n v="3.2"/>
    <n v="2569"/>
    <n v="4"/>
    <n v="9"/>
    <n v="237"/>
    <x v="0"/>
    <x v="1"/>
  </r>
  <r>
    <x v="40"/>
    <n v="63"/>
    <n v="5.5"/>
    <n v="40"/>
    <n v="45600"/>
    <n v="3.5"/>
    <n v="1515"/>
    <n v="32"/>
    <n v="14"/>
    <n v="112"/>
    <x v="0"/>
    <x v="1"/>
  </r>
  <r>
    <x v="41"/>
    <n v="76"/>
    <n v="5.7"/>
    <n v="41"/>
    <n v="33400"/>
    <n v="3.6"/>
    <n v="1971"/>
    <n v="19"/>
    <n v="16"/>
    <n v="110"/>
    <x v="0"/>
    <x v="1"/>
  </r>
  <r>
    <x v="42"/>
    <n v="97"/>
    <n v="6.1"/>
    <n v="42"/>
    <n v="39000"/>
    <n v="3.6"/>
    <n v="1872"/>
    <n v="24"/>
    <n v="19"/>
    <n v="131"/>
    <x v="0"/>
    <x v="2"/>
  </r>
  <r>
    <x v="43"/>
    <n v="116"/>
    <n v="6.4"/>
    <n v="43"/>
    <n v="30600"/>
    <n v="2.2999999999999998"/>
    <n v="1765"/>
    <n v="29"/>
    <n v="16"/>
    <n v="206"/>
    <x v="0"/>
    <x v="2"/>
  </r>
  <r>
    <x v="44"/>
    <n v="97"/>
    <n v="6.6"/>
    <n v="44"/>
    <n v="45600"/>
    <n v="4.5"/>
    <n v="790"/>
    <n v="43"/>
    <n v="26"/>
    <n v="98"/>
    <x v="1"/>
    <x v="2"/>
  </r>
  <r>
    <x v="45"/>
    <n v="31"/>
    <n v="6.7"/>
    <n v="45"/>
    <n v="45600"/>
    <n v="3.5"/>
    <n v="2346"/>
    <n v="7"/>
    <n v="26"/>
    <n v="521"/>
    <x v="0"/>
    <x v="2"/>
  </r>
  <r>
    <x v="46"/>
    <n v="49"/>
    <n v="6.9"/>
    <n v="46"/>
    <n v="19800"/>
    <n v="4.0999999999999996"/>
    <n v="1798"/>
    <n v="27"/>
    <n v="7"/>
    <n v="173"/>
    <x v="0"/>
    <x v="2"/>
  </r>
  <r>
    <x v="47"/>
    <n v="34"/>
    <n v="7.3"/>
    <n v="47"/>
    <n v="13300"/>
    <n v="5"/>
    <n v="1983"/>
    <n v="18"/>
    <n v="7"/>
    <n v="135"/>
    <x v="0"/>
    <x v="2"/>
  </r>
  <r>
    <x v="48"/>
    <n v="31"/>
    <n v="8.9"/>
    <n v="48"/>
    <n v="9700"/>
    <n v="4.5999999999999996"/>
    <n v="889"/>
    <n v="41"/>
    <n v="11"/>
    <n v="58"/>
    <x v="1"/>
    <x v="2"/>
  </r>
  <r>
    <x v="49"/>
    <n v="35"/>
    <n v="12.2"/>
    <n v="49"/>
    <n v="6500"/>
    <n v="3.5"/>
    <n v="1777"/>
    <n v="28"/>
    <n v="9"/>
    <n v="101"/>
    <x v="1"/>
    <x v="2"/>
  </r>
  <r>
    <x v="50"/>
    <n v="65"/>
    <n v="17.7"/>
    <n v="50"/>
    <n v="45600"/>
    <n v="3.5"/>
    <n v="3045"/>
    <n v="3"/>
    <n v="8"/>
    <n v="111"/>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A1A581-9156-4233-9556-AE89CD81A21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E4" firstHeaderRow="0" firstDataRow="1" firstDataCol="1"/>
  <pivotFields count="12">
    <pivotField showAll="0">
      <items count="52">
        <item x="48"/>
        <item x="34"/>
        <item x="39"/>
        <item x="6"/>
        <item x="5"/>
        <item x="25"/>
        <item x="2"/>
        <item x="17"/>
        <item x="14"/>
        <item x="9"/>
        <item x="21"/>
        <item x="44"/>
        <item x="15"/>
        <item x="10"/>
        <item x="33"/>
        <item x="41"/>
        <item x="37"/>
        <item x="43"/>
        <item x="0"/>
        <item x="12"/>
        <item x="19"/>
        <item x="22"/>
        <item x="11"/>
        <item x="20"/>
        <item x="40"/>
        <item x="47"/>
        <item x="38"/>
        <item x="27"/>
        <item x="50"/>
        <item x="3"/>
        <item x="7"/>
        <item x="35"/>
        <item x="29"/>
        <item x="8"/>
        <item x="18"/>
        <item x="42"/>
        <item x="13"/>
        <item x="23"/>
        <item x="1"/>
        <item x="28"/>
        <item x="45"/>
        <item x="30"/>
        <item x="36"/>
        <item x="24"/>
        <item x="16"/>
        <item x="31"/>
        <item x="26"/>
        <item x="4"/>
        <item x="32"/>
        <item x="46"/>
        <item x="49"/>
        <item t="default"/>
      </items>
    </pivotField>
    <pivotField showAll="0"/>
    <pivotField dataField="1" showAll="0"/>
    <pivotField showAll="0"/>
    <pivotField showAll="0"/>
    <pivotField dataField="1" showAll="0"/>
    <pivotField dataField="1" showAll="0"/>
    <pivotField showAll="0"/>
    <pivotField showAll="0"/>
    <pivotField dataField="1" showAll="0"/>
    <pivotField axis="axisRow" showAll="0">
      <items count="3">
        <item x="0"/>
        <item x="1"/>
        <item t="default"/>
      </items>
    </pivotField>
    <pivotField showAll="0">
      <items count="4">
        <item x="2"/>
        <item x="0"/>
        <item x="1"/>
        <item t="default"/>
      </items>
    </pivotField>
  </pivotFields>
  <rowFields count="1">
    <field x="10"/>
  </rowFields>
  <rowItems count="3">
    <i>
      <x/>
    </i>
    <i>
      <x v="1"/>
    </i>
    <i t="grand">
      <x/>
    </i>
  </rowItems>
  <colFields count="1">
    <field x="-2"/>
  </colFields>
  <colItems count="4">
    <i>
      <x/>
    </i>
    <i i="1">
      <x v="1"/>
    </i>
    <i i="2">
      <x v="2"/>
    </i>
    <i i="3">
      <x v="3"/>
    </i>
  </colItems>
  <dataFields count="4">
    <dataField name="Average of Rate of Fatalities, 2012" fld="2" subtotal="average" baseField="10" baseItem="1"/>
    <dataField name="Average of Injuries/Illnesses 2012 Rate" fld="5" subtotal="average" baseField="10" baseItem="1" numFmtId="164"/>
    <dataField name="Average of Penalties FY 2013 (Average $)" fld="6" subtotal="average" baseField="10" baseItem="1"/>
    <dataField name="Average of Years to Inspect Each Workplace Once" fld="9" subtotal="average" baseField="10" baseItem="1" numFmtId="1"/>
  </dataFields>
  <formats count="7">
    <format dxfId="7">
      <pivotArea collapsedLevelsAreSubtotals="1" fieldPosition="0">
        <references count="2">
          <reference field="4294967294" count="1" selected="0">
            <x v="0"/>
          </reference>
          <reference field="10" count="1">
            <x v="0"/>
          </reference>
        </references>
      </pivotArea>
    </format>
    <format dxfId="6">
      <pivotArea collapsedLevelsAreSubtotals="1" fieldPosition="0">
        <references count="2">
          <reference field="4294967294" count="1" selected="0">
            <x v="0"/>
          </reference>
          <reference field="10" count="1">
            <x v="1"/>
          </reference>
        </references>
      </pivotArea>
    </format>
    <format dxfId="5">
      <pivotArea collapsedLevelsAreSubtotals="1" fieldPosition="0">
        <references count="2">
          <reference field="4294967294" count="1" selected="0">
            <x v="1"/>
          </reference>
          <reference field="10" count="0"/>
        </references>
      </pivotArea>
    </format>
    <format dxfId="4">
      <pivotArea collapsedLevelsAreSubtotals="1" fieldPosition="0">
        <references count="2">
          <reference field="4294967294" count="1" selected="0">
            <x v="2"/>
          </reference>
          <reference field="10" count="0"/>
        </references>
      </pivotArea>
    </format>
    <format dxfId="3">
      <pivotArea outline="0" fieldPosition="0">
        <references count="1">
          <reference field="4294967294" count="1">
            <x v="3"/>
          </reference>
        </references>
      </pivotArea>
    </format>
    <format dxfId="2">
      <pivotArea outline="0" fieldPosition="0">
        <references count="1">
          <reference field="4294967294" count="1">
            <x v="1"/>
          </reference>
        </references>
      </pivotArea>
    </format>
    <format dxfId="0">
      <pivotArea field="10" grandRow="1" outline="0" collapsedLevelsAreSubtotals="1" axis="axisRow"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4F6A738F-BDF9-4D9A-9656-8FAA356395A7}" sourceName="State">
  <pivotTables>
    <pivotTable tabId="3" name="PivotTable7"/>
  </pivotTables>
  <data>
    <tabular pivotCacheId="337465598">
      <items count="51">
        <i x="48" s="1"/>
        <i x="34" s="1"/>
        <i x="39" s="1"/>
        <i x="6" s="1"/>
        <i x="5" s="1"/>
        <i x="25" s="1"/>
        <i x="2" s="1"/>
        <i x="17" s="1"/>
        <i x="14" s="1"/>
        <i x="9" s="1"/>
        <i x="21" s="1"/>
        <i x="44" s="1"/>
        <i x="15" s="1"/>
        <i x="10" s="1"/>
        <i x="33" s="1"/>
        <i x="41" s="1"/>
        <i x="37" s="1"/>
        <i x="43" s="1"/>
        <i x="0" s="1"/>
        <i x="12" s="1"/>
        <i x="19" s="1"/>
        <i x="22" s="1"/>
        <i x="11" s="1"/>
        <i x="20" s="1"/>
        <i x="40" s="1"/>
        <i x="47" s="1"/>
        <i x="38" s="1"/>
        <i x="27" s="1"/>
        <i x="50" s="1"/>
        <i x="3" s="1"/>
        <i x="7" s="1"/>
        <i x="35" s="1"/>
        <i x="29" s="1"/>
        <i x="8" s="1"/>
        <i x="18" s="1"/>
        <i x="42" s="1"/>
        <i x="13" s="1"/>
        <i x="23" s="1"/>
        <i x="1" s="1"/>
        <i x="28" s="1"/>
        <i x="45" s="1"/>
        <i x="30" s="1"/>
        <i x="36" s="1"/>
        <i x="24" s="1"/>
        <i x="16" s="1"/>
        <i x="31" s="1"/>
        <i x="26" s="1"/>
        <i x="4" s="1"/>
        <i x="32" s="1"/>
        <i x="46" s="1"/>
        <i x="4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or_Federal_Program" xr10:uid="{33B82BED-8F38-4248-A88E-3F5B0AF91F52}" sourceName="State or Federal Program">
  <pivotTables>
    <pivotTable tabId="3" name="PivotTable7"/>
  </pivotTables>
  <data>
    <tabular pivotCacheId="33746559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Category" xr10:uid="{68D607FF-3DB9-4884-8289-053F23581E6D}" sourceName="Risk Category">
  <pivotTables>
    <pivotTable tabId="3" name="PivotTable7"/>
  </pivotTables>
  <data>
    <tabular pivotCacheId="337465598">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7B681D9B-8E4F-4A2F-A36C-0966BA269053}" cache="Slicer_State" caption="State" rowHeight="247650"/>
  <slicer name="State or Federal Program 1" xr10:uid="{DBA05761-FEDF-4394-8256-D7117DCA67B4}" cache="Slicer_State_or_Federal_Program" caption="State or Federal Program" rowHeight="247650"/>
  <slicer name="Risk Category" xr10:uid="{F8D7613A-CFD6-462E-9C84-EC37067634C8}" cache="Slicer_Risk_Category" caption="Risk 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ED0D59-1D41-4DD2-9C29-F4B145A6A518}" name="Table2" displayName="Table2" ref="A1:L52" totalsRowShown="0">
  <autoFilter ref="A1:L52" xr:uid="{5FED0D59-1D41-4DD2-9C29-F4B145A6A518}"/>
  <sortState xmlns:xlrd2="http://schemas.microsoft.com/office/spreadsheetml/2017/richdata2" ref="A2:L52">
    <sortCondition ref="L1:L52"/>
  </sortState>
  <tableColumns count="12">
    <tableColumn id="1" xr3:uid="{C7437AA9-A85E-46A8-9DA4-5A9BE28BE445}" name="State" dataDxfId="1"/>
    <tableColumn id="2" xr3:uid="{3A298C6B-A22C-45C4-A803-BED935F826E6}" name="Number of Fatalities, 2012"/>
    <tableColumn id="3" xr3:uid="{B709830C-CF3B-4422-A908-CD2F7140FC76}" name="Rate of Fatalities, 2012"/>
    <tableColumn id="4" xr3:uid="{04A2DC57-D33C-4EFC-AEDB-FF5FA70F867E}" name="State Rank, Fatalities 2012"/>
    <tableColumn id="5" xr3:uid="{68E25AE0-8437-4597-A476-5CB3EE3C279A}" name="Number of Injuries/Illnesses 2012"/>
    <tableColumn id="6" xr3:uid="{5825431F-7CBD-481D-9E69-E8D75FA97100}" name="Injuries/Illnesses 2012 Rate"/>
    <tableColumn id="7" xr3:uid="{BA14CE33-A418-4ADB-A2D5-A9CEDD2E7619}" name="Penalties FY 2013 (Average $)"/>
    <tableColumn id="8" xr3:uid="{66C5B834-C5C1-4284-A759-2FFFE3155F13}" name="Penalties FY 2013 (Rank)"/>
    <tableColumn id="9" xr3:uid="{714CDF03-2195-4379-9559-245C6BB5789A}" name="Inspectors"/>
    <tableColumn id="10" xr3:uid="{E0849E52-0E34-4CF7-B085-51B888B172EB}" name="Years to Inspect Each Workplace Once"/>
    <tableColumn id="11" xr3:uid="{E733B637-8DDD-4243-8560-00A6117FF5AD}" name="State or Federal Program"/>
    <tableColumn id="12" xr3:uid="{1DE5C94B-5BE8-437F-A964-E9640BE9712C}" name="Risk Category"/>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D942DC4-366B-4B0A-A770-FA486EB76F1F}">
  <we:reference id="wa104379190" version="2.0.0.0" store="en-US" storeType="OMEX"/>
  <we:alternateReferences>
    <we:reference id="wa104379190" version="2.0.0.0" store="wa104379190" storeType="OMEX"/>
  </we:alternateReferences>
  <we:properties/>
  <we:bindings>
    <we:binding id="RangeSelect" type="matrix" appref="{5F4804C0-A7A4-4F20-BF47-60ED23DABC48}"/>
    <we:binding id="Input" type="matrix" appref="{D932D704-1B5C-4CFF-AD76-F6E5C8EDAF39}"/>
    <we:binding id="Output" type="matrix" appref="{ECB4127F-7F27-45DD-8723-19A0AFB1D29D}"/>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34CFF-829F-4D14-8480-05FEB8D28665}">
  <dimension ref="A1:E7"/>
  <sheetViews>
    <sheetView workbookViewId="0">
      <selection activeCell="D32" sqref="D32"/>
    </sheetView>
  </sheetViews>
  <sheetFormatPr defaultRowHeight="14.4" x14ac:dyDescent="0.3"/>
  <cols>
    <col min="1" max="1" width="12.44140625" bestFit="1" customWidth="1"/>
    <col min="2" max="2" width="29" bestFit="1" customWidth="1"/>
    <col min="3" max="3" width="33" bestFit="1" customWidth="1"/>
    <col min="4" max="4" width="34.44140625" bestFit="1" customWidth="1"/>
    <col min="5" max="5" width="42.109375" bestFit="1" customWidth="1"/>
    <col min="6" max="10" width="39.21875" bestFit="1" customWidth="1"/>
  </cols>
  <sheetData>
    <row r="1" spans="1:5" x14ac:dyDescent="0.3">
      <c r="A1" s="2" t="s">
        <v>63</v>
      </c>
      <c r="B1" t="s">
        <v>76</v>
      </c>
      <c r="C1" t="s">
        <v>77</v>
      </c>
      <c r="D1" t="s">
        <v>78</v>
      </c>
      <c r="E1" t="s">
        <v>79</v>
      </c>
    </row>
    <row r="2" spans="1:5" x14ac:dyDescent="0.3">
      <c r="A2" s="3" t="s">
        <v>11</v>
      </c>
      <c r="B2" s="5">
        <v>4.3866666666666667</v>
      </c>
      <c r="C2" s="5">
        <v>3.4833333333333329</v>
      </c>
      <c r="D2" s="6">
        <v>3938.0666666666666</v>
      </c>
      <c r="E2" s="7">
        <v>147.4</v>
      </c>
    </row>
    <row r="3" spans="1:5" x14ac:dyDescent="0.3">
      <c r="A3" s="3" t="s">
        <v>0</v>
      </c>
      <c r="B3" s="5">
        <v>4.1761904761904765</v>
      </c>
      <c r="C3" s="5">
        <v>3.7714285714285709</v>
      </c>
      <c r="D3" s="6">
        <v>1301.0952380952381</v>
      </c>
      <c r="E3" s="7">
        <v>89.714285714285708</v>
      </c>
    </row>
    <row r="4" spans="1:5" x14ac:dyDescent="0.3">
      <c r="A4" s="3" t="s">
        <v>64</v>
      </c>
      <c r="B4">
        <v>4.3</v>
      </c>
      <c r="C4" s="5">
        <v>3.6019607843137251</v>
      </c>
      <c r="D4" s="24">
        <v>2852.2549019607845</v>
      </c>
      <c r="E4" s="7">
        <v>123.64705882352941</v>
      </c>
    </row>
    <row r="6" spans="1:5" ht="21" x14ac:dyDescent="0.4">
      <c r="A6" s="4" t="s">
        <v>74</v>
      </c>
    </row>
    <row r="7" spans="1:5" x14ac:dyDescent="0.3">
      <c r="A7" t="s">
        <v>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0D816-1150-413B-B5EB-CAAA361ACCF9}">
  <dimension ref="A1:M52"/>
  <sheetViews>
    <sheetView topLeftCell="A18" workbookViewId="0">
      <selection activeCell="I20" sqref="I20"/>
    </sheetView>
  </sheetViews>
  <sheetFormatPr defaultRowHeight="14.4" x14ac:dyDescent="0.3"/>
  <cols>
    <col min="1" max="1" width="7.6640625" bestFit="1" customWidth="1"/>
    <col min="2" max="2" width="25.33203125" bestFit="1" customWidth="1"/>
    <col min="3" max="3" width="22.21875" bestFit="1" customWidth="1"/>
    <col min="4" max="4" width="25.5546875" bestFit="1" customWidth="1"/>
    <col min="5" max="5" width="31.21875" bestFit="1" customWidth="1"/>
    <col min="6" max="6" width="26.21875" bestFit="1" customWidth="1"/>
    <col min="7" max="7" width="27.6640625" bestFit="1" customWidth="1"/>
    <col min="8" max="8" width="23.77734375" bestFit="1" customWidth="1"/>
    <col min="9" max="9" width="12" bestFit="1" customWidth="1"/>
    <col min="10" max="10" width="35.21875" bestFit="1" customWidth="1"/>
    <col min="11" max="11" width="24" bestFit="1" customWidth="1"/>
    <col min="12" max="12" width="13.88671875" customWidth="1"/>
  </cols>
  <sheetData>
    <row r="1" spans="1:13" x14ac:dyDescent="0.3">
      <c r="A1" t="s">
        <v>0</v>
      </c>
      <c r="B1" t="s">
        <v>1</v>
      </c>
      <c r="C1" t="s">
        <v>2</v>
      </c>
      <c r="D1" t="s">
        <v>3</v>
      </c>
      <c r="E1" t="s">
        <v>4</v>
      </c>
      <c r="F1" t="s">
        <v>5</v>
      </c>
      <c r="G1" t="s">
        <v>6</v>
      </c>
      <c r="H1" t="s">
        <v>7</v>
      </c>
      <c r="I1" t="s">
        <v>8</v>
      </c>
      <c r="J1" t="s">
        <v>9</v>
      </c>
      <c r="K1" t="s">
        <v>10</v>
      </c>
      <c r="L1" t="s">
        <v>65</v>
      </c>
    </row>
    <row r="2" spans="1:13" x14ac:dyDescent="0.3">
      <c r="A2" s="1" t="s">
        <v>19</v>
      </c>
      <c r="B2">
        <v>116</v>
      </c>
      <c r="C2">
        <v>6.4</v>
      </c>
      <c r="D2">
        <v>43</v>
      </c>
      <c r="E2">
        <v>30600</v>
      </c>
      <c r="F2">
        <v>2.2999999999999998</v>
      </c>
      <c r="G2">
        <v>1765</v>
      </c>
      <c r="H2">
        <v>29</v>
      </c>
      <c r="I2">
        <v>16</v>
      </c>
      <c r="J2">
        <v>206</v>
      </c>
      <c r="K2" t="s">
        <v>11</v>
      </c>
      <c r="L2" t="s">
        <v>83</v>
      </c>
    </row>
    <row r="3" spans="1:13" x14ac:dyDescent="0.3">
      <c r="A3" s="1" t="s">
        <v>20</v>
      </c>
      <c r="B3">
        <v>97</v>
      </c>
      <c r="C3">
        <v>6.1</v>
      </c>
      <c r="D3">
        <v>42</v>
      </c>
      <c r="E3">
        <v>39000</v>
      </c>
      <c r="F3">
        <v>3.6</v>
      </c>
      <c r="G3">
        <v>1872</v>
      </c>
      <c r="H3">
        <v>24</v>
      </c>
      <c r="I3">
        <v>19</v>
      </c>
      <c r="J3">
        <v>131</v>
      </c>
      <c r="K3" t="s">
        <v>11</v>
      </c>
      <c r="L3" t="s">
        <v>83</v>
      </c>
      <c r="M3">
        <f>SUM(I3:I31)</f>
        <v>2301</v>
      </c>
    </row>
    <row r="4" spans="1:13" x14ac:dyDescent="0.3">
      <c r="A4" s="1" t="s">
        <v>18</v>
      </c>
      <c r="B4">
        <v>97</v>
      </c>
      <c r="C4">
        <v>6.6</v>
      </c>
      <c r="D4">
        <v>44</v>
      </c>
      <c r="E4">
        <v>45600</v>
      </c>
      <c r="F4">
        <v>4.5</v>
      </c>
      <c r="G4">
        <v>790</v>
      </c>
      <c r="H4">
        <v>43</v>
      </c>
      <c r="I4">
        <v>26</v>
      </c>
      <c r="J4">
        <v>98</v>
      </c>
      <c r="K4" t="s">
        <v>0</v>
      </c>
      <c r="L4" t="s">
        <v>83</v>
      </c>
    </row>
    <row r="5" spans="1:13" x14ac:dyDescent="0.3">
      <c r="A5" s="1" t="s">
        <v>12</v>
      </c>
      <c r="B5">
        <v>65</v>
      </c>
      <c r="C5">
        <v>17.7</v>
      </c>
      <c r="D5">
        <v>50</v>
      </c>
      <c r="E5">
        <v>45600</v>
      </c>
      <c r="F5">
        <v>3.5</v>
      </c>
      <c r="G5">
        <v>3045</v>
      </c>
      <c r="H5">
        <v>3</v>
      </c>
      <c r="I5">
        <v>8</v>
      </c>
      <c r="J5">
        <v>111</v>
      </c>
      <c r="K5" t="s">
        <v>11</v>
      </c>
      <c r="L5" t="s">
        <v>83</v>
      </c>
    </row>
    <row r="6" spans="1:13" x14ac:dyDescent="0.3">
      <c r="A6" s="1" t="s">
        <v>16</v>
      </c>
      <c r="B6">
        <v>49</v>
      </c>
      <c r="C6">
        <v>6.9</v>
      </c>
      <c r="D6">
        <v>46</v>
      </c>
      <c r="E6">
        <v>19800</v>
      </c>
      <c r="F6">
        <v>4.0999999999999996</v>
      </c>
      <c r="G6">
        <v>1798</v>
      </c>
      <c r="H6">
        <v>27</v>
      </c>
      <c r="I6">
        <v>7</v>
      </c>
      <c r="J6">
        <v>173</v>
      </c>
      <c r="K6" t="s">
        <v>11</v>
      </c>
      <c r="L6" t="s">
        <v>83</v>
      </c>
    </row>
    <row r="7" spans="1:13" x14ac:dyDescent="0.3">
      <c r="A7" s="1" t="s">
        <v>13</v>
      </c>
      <c r="B7">
        <v>35</v>
      </c>
      <c r="C7">
        <v>12.2</v>
      </c>
      <c r="D7">
        <v>49</v>
      </c>
      <c r="E7">
        <v>6500</v>
      </c>
      <c r="F7">
        <v>3.5</v>
      </c>
      <c r="G7">
        <v>1777</v>
      </c>
      <c r="H7">
        <v>28</v>
      </c>
      <c r="I7">
        <v>9</v>
      </c>
      <c r="J7">
        <v>101</v>
      </c>
      <c r="K7" t="s">
        <v>0</v>
      </c>
      <c r="L7" t="s">
        <v>83</v>
      </c>
    </row>
    <row r="8" spans="1:13" x14ac:dyDescent="0.3">
      <c r="A8" s="1" t="s">
        <v>15</v>
      </c>
      <c r="B8">
        <v>34</v>
      </c>
      <c r="C8">
        <v>7.3</v>
      </c>
      <c r="D8">
        <v>47</v>
      </c>
      <c r="E8">
        <v>13300</v>
      </c>
      <c r="F8">
        <v>5</v>
      </c>
      <c r="G8">
        <v>1983</v>
      </c>
      <c r="H8">
        <v>18</v>
      </c>
      <c r="I8">
        <v>7</v>
      </c>
      <c r="J8">
        <v>135</v>
      </c>
      <c r="K8" t="s">
        <v>11</v>
      </c>
      <c r="L8" t="s">
        <v>83</v>
      </c>
    </row>
    <row r="9" spans="1:13" x14ac:dyDescent="0.3">
      <c r="A9" s="1" t="s">
        <v>17</v>
      </c>
      <c r="B9">
        <v>31</v>
      </c>
      <c r="C9">
        <v>6.7</v>
      </c>
      <c r="D9">
        <v>45</v>
      </c>
      <c r="E9">
        <v>45600</v>
      </c>
      <c r="F9">
        <v>3.5</v>
      </c>
      <c r="G9">
        <v>2346</v>
      </c>
      <c r="H9">
        <v>7</v>
      </c>
      <c r="I9">
        <v>26</v>
      </c>
      <c r="J9">
        <v>521</v>
      </c>
      <c r="K9" t="s">
        <v>11</v>
      </c>
      <c r="L9" t="s">
        <v>83</v>
      </c>
    </row>
    <row r="10" spans="1:13" x14ac:dyDescent="0.3">
      <c r="A10" s="1" t="s">
        <v>14</v>
      </c>
      <c r="B10">
        <v>31</v>
      </c>
      <c r="C10">
        <v>8.9</v>
      </c>
      <c r="D10">
        <v>48</v>
      </c>
      <c r="E10">
        <v>9700</v>
      </c>
      <c r="F10">
        <v>4.5999999999999996</v>
      </c>
      <c r="G10">
        <v>889</v>
      </c>
      <c r="H10">
        <v>41</v>
      </c>
      <c r="I10">
        <v>11</v>
      </c>
      <c r="J10">
        <v>58</v>
      </c>
      <c r="K10" t="s">
        <v>0</v>
      </c>
      <c r="L10" t="s">
        <v>83</v>
      </c>
    </row>
    <row r="11" spans="1:13" x14ac:dyDescent="0.3">
      <c r="A11" t="s">
        <v>41</v>
      </c>
      <c r="B11">
        <v>2814</v>
      </c>
      <c r="C11">
        <v>3.4</v>
      </c>
      <c r="D11">
        <v>22</v>
      </c>
      <c r="E11">
        <v>1761200</v>
      </c>
      <c r="F11">
        <v>3.4</v>
      </c>
      <c r="G11">
        <v>59071</v>
      </c>
      <c r="H11">
        <v>0</v>
      </c>
      <c r="I11">
        <v>901</v>
      </c>
      <c r="J11">
        <v>112</v>
      </c>
      <c r="K11" t="s">
        <v>11</v>
      </c>
      <c r="L11" t="s">
        <v>81</v>
      </c>
    </row>
    <row r="12" spans="1:13" x14ac:dyDescent="0.3">
      <c r="A12" s="1" t="s">
        <v>57</v>
      </c>
      <c r="B12">
        <v>375</v>
      </c>
      <c r="C12">
        <v>2.2999999999999998</v>
      </c>
      <c r="D12">
        <v>6</v>
      </c>
      <c r="E12">
        <v>345400</v>
      </c>
      <c r="F12">
        <v>3.5</v>
      </c>
      <c r="G12">
        <v>6422</v>
      </c>
      <c r="H12">
        <v>1</v>
      </c>
      <c r="I12">
        <v>216</v>
      </c>
      <c r="J12">
        <v>179</v>
      </c>
      <c r="K12" t="s">
        <v>0</v>
      </c>
      <c r="L12" t="s">
        <v>81</v>
      </c>
    </row>
    <row r="13" spans="1:13" x14ac:dyDescent="0.3">
      <c r="A13" s="1" t="s">
        <v>47</v>
      </c>
      <c r="B13">
        <v>218</v>
      </c>
      <c r="C13">
        <v>2.7</v>
      </c>
      <c r="D13">
        <v>15</v>
      </c>
      <c r="E13">
        <f>MEDIAN(E9:E11)</f>
        <v>45600</v>
      </c>
      <c r="F13">
        <v>3.5</v>
      </c>
      <c r="G13">
        <v>1821</v>
      </c>
      <c r="H13">
        <v>25</v>
      </c>
      <c r="I13">
        <v>60</v>
      </c>
      <c r="J13">
        <v>238</v>
      </c>
      <c r="K13" t="s">
        <v>11</v>
      </c>
      <c r="L13" t="s">
        <v>81</v>
      </c>
    </row>
    <row r="14" spans="1:13" x14ac:dyDescent="0.3">
      <c r="A14" s="1" t="s">
        <v>54</v>
      </c>
      <c r="B14">
        <v>202</v>
      </c>
      <c r="C14">
        <v>2.4</v>
      </c>
      <c r="D14">
        <v>8</v>
      </c>
      <c r="E14">
        <v>146300</v>
      </c>
      <c r="F14">
        <v>2.5</v>
      </c>
      <c r="G14">
        <v>2016</v>
      </c>
      <c r="H14">
        <v>17</v>
      </c>
      <c r="I14">
        <v>105</v>
      </c>
      <c r="J14">
        <v>184</v>
      </c>
      <c r="K14" t="s">
        <v>11</v>
      </c>
      <c r="L14" t="s">
        <v>81</v>
      </c>
    </row>
    <row r="15" spans="1:13" x14ac:dyDescent="0.3">
      <c r="A15" s="1" t="s">
        <v>40</v>
      </c>
      <c r="B15">
        <v>194</v>
      </c>
      <c r="C15">
        <v>3.4</v>
      </c>
      <c r="D15">
        <v>22</v>
      </c>
      <c r="E15">
        <v>155300</v>
      </c>
      <c r="F15">
        <v>3.9</v>
      </c>
      <c r="G15">
        <v>1916</v>
      </c>
      <c r="H15">
        <v>22</v>
      </c>
      <c r="I15">
        <v>57</v>
      </c>
      <c r="J15">
        <v>125</v>
      </c>
      <c r="K15" t="s">
        <v>11</v>
      </c>
      <c r="L15" t="s">
        <v>81</v>
      </c>
    </row>
    <row r="16" spans="1:13" x14ac:dyDescent="0.3">
      <c r="A16" s="1" t="s">
        <v>45</v>
      </c>
      <c r="B16">
        <v>161</v>
      </c>
      <c r="C16">
        <v>3.1</v>
      </c>
      <c r="D16">
        <v>18</v>
      </c>
      <c r="E16">
        <v>113600</v>
      </c>
      <c r="F16">
        <v>3.2</v>
      </c>
      <c r="G16">
        <v>2156</v>
      </c>
      <c r="H16">
        <v>11</v>
      </c>
      <c r="I16">
        <v>53</v>
      </c>
      <c r="J16">
        <v>112</v>
      </c>
      <c r="K16" t="s">
        <v>11</v>
      </c>
      <c r="L16" t="s">
        <v>81</v>
      </c>
    </row>
    <row r="17" spans="1:12" x14ac:dyDescent="0.3">
      <c r="A17" s="1" t="s">
        <v>32</v>
      </c>
      <c r="B17">
        <v>149</v>
      </c>
      <c r="C17">
        <v>3.8</v>
      </c>
      <c r="D17">
        <v>30</v>
      </c>
      <c r="E17">
        <v>66200</v>
      </c>
      <c r="F17">
        <v>2.7</v>
      </c>
      <c r="G17">
        <v>726</v>
      </c>
      <c r="H17">
        <v>46</v>
      </c>
      <c r="I17">
        <v>48</v>
      </c>
      <c r="J17">
        <v>82</v>
      </c>
      <c r="K17" t="s">
        <v>0</v>
      </c>
      <c r="L17" t="s">
        <v>81</v>
      </c>
    </row>
    <row r="18" spans="1:12" x14ac:dyDescent="0.3">
      <c r="A18" s="1" t="s">
        <v>52</v>
      </c>
      <c r="B18">
        <v>146</v>
      </c>
      <c r="C18">
        <v>2.5</v>
      </c>
      <c r="D18">
        <v>10</v>
      </c>
      <c r="E18">
        <v>124900</v>
      </c>
      <c r="F18">
        <v>3.2</v>
      </c>
      <c r="G18">
        <v>1876</v>
      </c>
      <c r="H18">
        <v>23</v>
      </c>
      <c r="I18">
        <v>74</v>
      </c>
      <c r="J18">
        <v>137</v>
      </c>
      <c r="K18" t="s">
        <v>11</v>
      </c>
      <c r="L18" t="s">
        <v>81</v>
      </c>
    </row>
    <row r="19" spans="1:12" x14ac:dyDescent="0.3">
      <c r="A19" s="1" t="s">
        <v>35</v>
      </c>
      <c r="B19">
        <v>146</v>
      </c>
      <c r="C19">
        <v>3.5</v>
      </c>
      <c r="D19">
        <v>25</v>
      </c>
      <c r="E19">
        <v>75900</v>
      </c>
      <c r="F19">
        <v>2.9</v>
      </c>
      <c r="G19">
        <v>996</v>
      </c>
      <c r="H19">
        <v>38</v>
      </c>
      <c r="I19">
        <v>104</v>
      </c>
      <c r="J19">
        <v>60</v>
      </c>
      <c r="K19" t="s">
        <v>0</v>
      </c>
      <c r="L19" t="s">
        <v>81</v>
      </c>
    </row>
    <row r="20" spans="1:12" x14ac:dyDescent="0.3">
      <c r="A20" s="1" t="s">
        <v>39</v>
      </c>
      <c r="B20">
        <v>137</v>
      </c>
      <c r="C20">
        <v>3.4</v>
      </c>
      <c r="D20">
        <v>22</v>
      </c>
      <c r="E20">
        <v>105500</v>
      </c>
      <c r="F20">
        <v>4</v>
      </c>
      <c r="G20">
        <v>542</v>
      </c>
      <c r="H20">
        <v>48</v>
      </c>
      <c r="I20">
        <v>63</v>
      </c>
      <c r="J20">
        <v>45</v>
      </c>
      <c r="K20" t="s">
        <v>0</v>
      </c>
      <c r="L20" t="s">
        <v>81</v>
      </c>
    </row>
    <row r="21" spans="1:12" x14ac:dyDescent="0.3">
      <c r="A21" s="1" t="s">
        <v>30</v>
      </c>
      <c r="B21">
        <v>114</v>
      </c>
      <c r="C21">
        <v>4</v>
      </c>
      <c r="D21">
        <v>32</v>
      </c>
      <c r="E21">
        <v>72900</v>
      </c>
      <c r="F21">
        <v>4</v>
      </c>
      <c r="G21">
        <v>2207</v>
      </c>
      <c r="H21">
        <v>9</v>
      </c>
      <c r="I21">
        <v>36</v>
      </c>
      <c r="J21">
        <v>104</v>
      </c>
      <c r="K21" t="s">
        <v>11</v>
      </c>
      <c r="L21" t="s">
        <v>81</v>
      </c>
    </row>
    <row r="22" spans="1:12" x14ac:dyDescent="0.3">
      <c r="A22" s="1" t="s">
        <v>53</v>
      </c>
      <c r="B22">
        <v>101</v>
      </c>
      <c r="C22">
        <v>2.5</v>
      </c>
      <c r="D22">
        <v>10</v>
      </c>
      <c r="E22">
        <v>74800</v>
      </c>
      <c r="F22">
        <v>2.8</v>
      </c>
      <c r="G22">
        <v>2061</v>
      </c>
      <c r="H22">
        <v>15</v>
      </c>
      <c r="I22">
        <v>49</v>
      </c>
      <c r="J22">
        <v>138</v>
      </c>
      <c r="K22" t="s">
        <v>11</v>
      </c>
      <c r="L22" t="s">
        <v>81</v>
      </c>
    </row>
    <row r="23" spans="1:12" x14ac:dyDescent="0.3">
      <c r="A23" s="1" t="s">
        <v>31</v>
      </c>
      <c r="B23">
        <v>101</v>
      </c>
      <c r="C23">
        <v>3.8</v>
      </c>
      <c r="D23">
        <v>30</v>
      </c>
      <c r="E23">
        <v>65100</v>
      </c>
      <c r="F23">
        <v>3.5</v>
      </c>
      <c r="G23">
        <v>727</v>
      </c>
      <c r="H23">
        <v>45</v>
      </c>
      <c r="I23">
        <v>30</v>
      </c>
      <c r="J23">
        <v>82</v>
      </c>
      <c r="K23" t="s">
        <v>0</v>
      </c>
      <c r="L23" t="s">
        <v>81</v>
      </c>
    </row>
    <row r="24" spans="1:12" x14ac:dyDescent="0.3">
      <c r="A24" s="1" t="s">
        <v>55</v>
      </c>
      <c r="B24">
        <v>92</v>
      </c>
      <c r="C24">
        <v>2.4</v>
      </c>
      <c r="D24">
        <v>8</v>
      </c>
      <c r="E24">
        <v>80900</v>
      </c>
      <c r="F24">
        <v>3.1</v>
      </c>
      <c r="G24">
        <v>2151</v>
      </c>
      <c r="H24">
        <v>12</v>
      </c>
      <c r="I24">
        <v>67</v>
      </c>
      <c r="J24">
        <v>123</v>
      </c>
      <c r="K24" t="s">
        <v>11</v>
      </c>
      <c r="L24" t="s">
        <v>81</v>
      </c>
    </row>
    <row r="25" spans="1:12" x14ac:dyDescent="0.3">
      <c r="A25" s="1" t="s">
        <v>42</v>
      </c>
      <c r="B25">
        <v>88</v>
      </c>
      <c r="C25">
        <v>3.3</v>
      </c>
      <c r="D25">
        <v>21</v>
      </c>
      <c r="E25">
        <v>60300</v>
      </c>
      <c r="F25">
        <v>3.3</v>
      </c>
      <c r="G25">
        <v>1931</v>
      </c>
      <c r="H25">
        <v>20</v>
      </c>
      <c r="I25">
        <v>26</v>
      </c>
      <c r="J25">
        <v>118</v>
      </c>
      <c r="K25" t="s">
        <v>11</v>
      </c>
      <c r="L25" t="s">
        <v>81</v>
      </c>
    </row>
    <row r="26" spans="1:12" x14ac:dyDescent="0.3">
      <c r="A26" s="1" t="s">
        <v>37</v>
      </c>
      <c r="B26">
        <v>82</v>
      </c>
      <c r="C26">
        <v>3.5</v>
      </c>
      <c r="D26">
        <v>25</v>
      </c>
      <c r="E26">
        <v>45600</v>
      </c>
      <c r="F26">
        <v>3.5</v>
      </c>
      <c r="G26">
        <v>1649</v>
      </c>
      <c r="H26">
        <v>31</v>
      </c>
      <c r="I26">
        <v>28</v>
      </c>
      <c r="J26">
        <v>122</v>
      </c>
      <c r="K26" t="s">
        <v>11</v>
      </c>
      <c r="L26" t="s">
        <v>81</v>
      </c>
    </row>
    <row r="27" spans="1:12" x14ac:dyDescent="0.3">
      <c r="A27" s="1" t="s">
        <v>49</v>
      </c>
      <c r="B27">
        <v>72</v>
      </c>
      <c r="C27">
        <v>2.6</v>
      </c>
      <c r="D27">
        <v>12</v>
      </c>
      <c r="E27">
        <v>51900</v>
      </c>
      <c r="F27">
        <v>3.1</v>
      </c>
      <c r="G27">
        <v>685</v>
      </c>
      <c r="H27">
        <v>47</v>
      </c>
      <c r="I27">
        <v>48</v>
      </c>
      <c r="J27">
        <v>108</v>
      </c>
      <c r="K27" t="s">
        <v>0</v>
      </c>
      <c r="L27" t="s">
        <v>81</v>
      </c>
    </row>
    <row r="28" spans="1:12" x14ac:dyDescent="0.3">
      <c r="A28" s="1" t="s">
        <v>51</v>
      </c>
      <c r="B28">
        <v>70</v>
      </c>
      <c r="C28">
        <v>2.6</v>
      </c>
      <c r="D28">
        <v>12</v>
      </c>
      <c r="E28">
        <v>67500</v>
      </c>
      <c r="F28">
        <v>3.8</v>
      </c>
      <c r="G28">
        <v>768</v>
      </c>
      <c r="H28">
        <v>44</v>
      </c>
      <c r="I28">
        <v>58</v>
      </c>
      <c r="J28">
        <v>57</v>
      </c>
      <c r="K28" t="s">
        <v>0</v>
      </c>
      <c r="L28" t="s">
        <v>81</v>
      </c>
    </row>
    <row r="29" spans="1:12" x14ac:dyDescent="0.3">
      <c r="A29" s="1" t="s">
        <v>59</v>
      </c>
      <c r="B29">
        <v>67</v>
      </c>
      <c r="C29">
        <v>2.2000000000000002</v>
      </c>
      <c r="D29">
        <v>4</v>
      </c>
      <c r="E29">
        <v>89300</v>
      </c>
      <c r="F29">
        <v>4.8</v>
      </c>
      <c r="G29">
        <v>791</v>
      </c>
      <c r="H29">
        <v>42</v>
      </c>
      <c r="I29">
        <v>111</v>
      </c>
      <c r="J29">
        <v>50</v>
      </c>
      <c r="K29" t="s">
        <v>0</v>
      </c>
      <c r="L29" t="s">
        <v>81</v>
      </c>
    </row>
    <row r="30" spans="1:12" x14ac:dyDescent="0.3">
      <c r="A30" s="1" t="s">
        <v>34</v>
      </c>
      <c r="B30">
        <v>63</v>
      </c>
      <c r="C30">
        <v>3.5</v>
      </c>
      <c r="D30">
        <v>25</v>
      </c>
      <c r="E30">
        <v>36200</v>
      </c>
      <c r="F30">
        <v>3</v>
      </c>
      <c r="G30">
        <v>492</v>
      </c>
      <c r="H30">
        <v>49</v>
      </c>
      <c r="I30">
        <v>24</v>
      </c>
      <c r="J30">
        <v>111</v>
      </c>
      <c r="K30" t="s">
        <v>0</v>
      </c>
      <c r="L30" t="s">
        <v>81</v>
      </c>
    </row>
    <row r="31" spans="1:12" x14ac:dyDescent="0.3">
      <c r="A31" s="1" t="s">
        <v>56</v>
      </c>
      <c r="B31">
        <v>60</v>
      </c>
      <c r="C31">
        <v>2.2999999999999998</v>
      </c>
      <c r="D31">
        <v>6</v>
      </c>
      <c r="E31">
        <v>54400</v>
      </c>
      <c r="F31">
        <v>3.2</v>
      </c>
      <c r="G31">
        <v>891</v>
      </c>
      <c r="H31">
        <v>40</v>
      </c>
      <c r="I31">
        <v>30</v>
      </c>
      <c r="J31">
        <v>126</v>
      </c>
      <c r="K31" t="s">
        <v>0</v>
      </c>
      <c r="L31" t="s">
        <v>81</v>
      </c>
    </row>
    <row r="32" spans="1:12" x14ac:dyDescent="0.3">
      <c r="A32" s="1" t="s">
        <v>62</v>
      </c>
      <c r="B32">
        <v>44</v>
      </c>
      <c r="C32">
        <v>1.4</v>
      </c>
      <c r="D32">
        <v>1</v>
      </c>
      <c r="E32">
        <v>69700</v>
      </c>
      <c r="F32">
        <v>3.1</v>
      </c>
      <c r="G32">
        <v>1929</v>
      </c>
      <c r="H32">
        <v>21</v>
      </c>
      <c r="I32">
        <v>33</v>
      </c>
      <c r="J32">
        <v>123</v>
      </c>
      <c r="K32" t="s">
        <v>11</v>
      </c>
      <c r="L32" t="s">
        <v>81</v>
      </c>
    </row>
    <row r="33" spans="1:12" x14ac:dyDescent="0.3">
      <c r="A33" s="1" t="s">
        <v>50</v>
      </c>
      <c r="B33">
        <v>43</v>
      </c>
      <c r="C33">
        <v>2.6</v>
      </c>
      <c r="D33">
        <v>12</v>
      </c>
      <c r="E33">
        <v>42900</v>
      </c>
      <c r="F33">
        <v>3.9</v>
      </c>
      <c r="G33">
        <v>363</v>
      </c>
      <c r="H33">
        <v>50</v>
      </c>
      <c r="I33">
        <v>75</v>
      </c>
      <c r="J33">
        <v>31</v>
      </c>
      <c r="K33" t="s">
        <v>0</v>
      </c>
      <c r="L33" t="s">
        <v>81</v>
      </c>
    </row>
    <row r="34" spans="1:12" x14ac:dyDescent="0.3">
      <c r="A34" s="1" t="s">
        <v>33</v>
      </c>
      <c r="B34">
        <v>42</v>
      </c>
      <c r="C34">
        <v>3.6</v>
      </c>
      <c r="D34">
        <v>29</v>
      </c>
      <c r="E34">
        <v>32400</v>
      </c>
      <c r="F34">
        <v>4.0999999999999996</v>
      </c>
      <c r="G34">
        <v>2133</v>
      </c>
      <c r="H34">
        <v>13</v>
      </c>
      <c r="I34">
        <v>44</v>
      </c>
      <c r="J34">
        <v>49</v>
      </c>
      <c r="K34" t="s">
        <v>0</v>
      </c>
      <c r="L34" t="s">
        <v>81</v>
      </c>
    </row>
    <row r="35" spans="1:12" x14ac:dyDescent="0.3">
      <c r="A35" s="1" t="s">
        <v>46</v>
      </c>
      <c r="B35">
        <v>39</v>
      </c>
      <c r="C35">
        <v>3</v>
      </c>
      <c r="D35">
        <v>17</v>
      </c>
      <c r="E35">
        <v>27700</v>
      </c>
      <c r="F35">
        <v>3.4</v>
      </c>
      <c r="G35">
        <v>1053</v>
      </c>
      <c r="H35">
        <v>35</v>
      </c>
      <c r="I35">
        <v>22</v>
      </c>
      <c r="J35">
        <v>81</v>
      </c>
      <c r="K35" t="s">
        <v>0</v>
      </c>
      <c r="L35" t="s">
        <v>81</v>
      </c>
    </row>
    <row r="36" spans="1:12" x14ac:dyDescent="0.3">
      <c r="A36" s="1" t="s">
        <v>60</v>
      </c>
      <c r="B36">
        <v>36</v>
      </c>
      <c r="C36">
        <v>2.1</v>
      </c>
      <c r="D36">
        <v>3</v>
      </c>
      <c r="E36">
        <v>43800</v>
      </c>
      <c r="F36">
        <v>3.9</v>
      </c>
      <c r="G36">
        <v>1735</v>
      </c>
      <c r="H36">
        <v>30</v>
      </c>
      <c r="I36">
        <v>24</v>
      </c>
      <c r="J36">
        <v>107</v>
      </c>
      <c r="K36" t="s">
        <v>11</v>
      </c>
      <c r="L36" t="s">
        <v>81</v>
      </c>
    </row>
    <row r="37" spans="1:12" x14ac:dyDescent="0.3">
      <c r="A37" s="1" t="s">
        <v>38</v>
      </c>
      <c r="B37">
        <v>20</v>
      </c>
      <c r="C37">
        <v>3.4</v>
      </c>
      <c r="D37">
        <v>22</v>
      </c>
      <c r="E37">
        <v>13700</v>
      </c>
      <c r="F37">
        <v>3.8</v>
      </c>
      <c r="G37">
        <v>964</v>
      </c>
      <c r="H37">
        <v>39</v>
      </c>
      <c r="I37">
        <v>20</v>
      </c>
      <c r="J37">
        <v>79</v>
      </c>
      <c r="K37" t="s">
        <v>0</v>
      </c>
      <c r="L37" t="s">
        <v>81</v>
      </c>
    </row>
    <row r="38" spans="1:12" x14ac:dyDescent="0.3">
      <c r="A38" s="1" t="s">
        <v>48</v>
      </c>
      <c r="B38">
        <v>19</v>
      </c>
      <c r="C38">
        <v>2.7</v>
      </c>
      <c r="D38">
        <v>15</v>
      </c>
      <c r="E38">
        <v>45600</v>
      </c>
      <c r="F38">
        <v>3.5</v>
      </c>
      <c r="G38">
        <v>1449</v>
      </c>
      <c r="H38">
        <v>33</v>
      </c>
      <c r="I38">
        <v>9</v>
      </c>
      <c r="J38">
        <v>108</v>
      </c>
      <c r="K38" t="s">
        <v>11</v>
      </c>
      <c r="L38" t="s">
        <v>81</v>
      </c>
    </row>
    <row r="39" spans="1:12" x14ac:dyDescent="0.3">
      <c r="A39" s="1" t="s">
        <v>43</v>
      </c>
      <c r="B39">
        <v>19</v>
      </c>
      <c r="C39">
        <v>3.2</v>
      </c>
      <c r="D39">
        <v>20</v>
      </c>
      <c r="E39">
        <v>21200</v>
      </c>
      <c r="F39">
        <v>5.6</v>
      </c>
      <c r="G39">
        <v>2083</v>
      </c>
      <c r="H39">
        <v>14</v>
      </c>
      <c r="I39">
        <v>8</v>
      </c>
      <c r="J39">
        <v>80</v>
      </c>
      <c r="K39" t="s">
        <v>11</v>
      </c>
      <c r="L39" t="s">
        <v>81</v>
      </c>
    </row>
    <row r="40" spans="1:12" x14ac:dyDescent="0.3">
      <c r="A40" s="1" t="s">
        <v>58</v>
      </c>
      <c r="B40">
        <v>14</v>
      </c>
      <c r="C40">
        <v>2.2000000000000002</v>
      </c>
      <c r="D40">
        <v>4</v>
      </c>
      <c r="E40">
        <v>45600</v>
      </c>
      <c r="F40">
        <v>3.5</v>
      </c>
      <c r="G40">
        <v>2243</v>
      </c>
      <c r="H40">
        <v>8</v>
      </c>
      <c r="I40">
        <v>7</v>
      </c>
      <c r="J40">
        <v>119</v>
      </c>
      <c r="K40" t="s">
        <v>11</v>
      </c>
      <c r="L40" t="s">
        <v>81</v>
      </c>
    </row>
    <row r="41" spans="1:12" x14ac:dyDescent="0.3">
      <c r="A41" s="1" t="s">
        <v>44</v>
      </c>
      <c r="B41">
        <v>14</v>
      </c>
      <c r="C41">
        <v>3.1</v>
      </c>
      <c r="D41">
        <v>18</v>
      </c>
      <c r="E41">
        <v>7900</v>
      </c>
      <c r="F41">
        <v>2.8</v>
      </c>
      <c r="G41">
        <v>2406</v>
      </c>
      <c r="H41">
        <v>6</v>
      </c>
      <c r="I41">
        <v>5</v>
      </c>
      <c r="J41">
        <v>175</v>
      </c>
      <c r="K41" t="s">
        <v>11</v>
      </c>
      <c r="L41" t="s">
        <v>81</v>
      </c>
    </row>
    <row r="42" spans="1:12" x14ac:dyDescent="0.3">
      <c r="A42" s="1" t="s">
        <v>36</v>
      </c>
      <c r="B42">
        <v>11</v>
      </c>
      <c r="C42">
        <v>3.5</v>
      </c>
      <c r="D42">
        <v>25</v>
      </c>
      <c r="E42">
        <v>9900</v>
      </c>
      <c r="F42">
        <v>5</v>
      </c>
      <c r="G42">
        <v>1008</v>
      </c>
      <c r="H42">
        <v>36</v>
      </c>
      <c r="I42">
        <v>9</v>
      </c>
      <c r="J42">
        <v>68</v>
      </c>
      <c r="K42" t="s">
        <v>0</v>
      </c>
      <c r="L42" t="s">
        <v>81</v>
      </c>
    </row>
    <row r="43" spans="1:12" x14ac:dyDescent="0.3">
      <c r="A43" s="1" t="s">
        <v>61</v>
      </c>
      <c r="B43">
        <v>8</v>
      </c>
      <c r="C43">
        <v>1.7</v>
      </c>
      <c r="D43">
        <v>2</v>
      </c>
      <c r="E43">
        <v>45600</v>
      </c>
      <c r="F43">
        <v>3.5</v>
      </c>
      <c r="G43">
        <v>2023</v>
      </c>
      <c r="H43">
        <v>16</v>
      </c>
      <c r="I43">
        <v>7</v>
      </c>
      <c r="J43">
        <v>103</v>
      </c>
      <c r="K43" t="s">
        <v>11</v>
      </c>
      <c r="L43" t="s">
        <v>81</v>
      </c>
    </row>
    <row r="44" spans="1:12" x14ac:dyDescent="0.3">
      <c r="A44" s="1" t="s">
        <v>27</v>
      </c>
      <c r="B44">
        <v>536</v>
      </c>
      <c r="C44">
        <v>4.8</v>
      </c>
      <c r="D44">
        <v>35</v>
      </c>
      <c r="E44">
        <v>203200</v>
      </c>
      <c r="F44">
        <v>2.7</v>
      </c>
      <c r="G44">
        <v>2187</v>
      </c>
      <c r="H44">
        <v>10</v>
      </c>
      <c r="I44">
        <v>98</v>
      </c>
      <c r="J44">
        <v>136</v>
      </c>
      <c r="K44" t="s">
        <v>11</v>
      </c>
      <c r="L44" t="s">
        <v>82</v>
      </c>
    </row>
    <row r="45" spans="1:12" x14ac:dyDescent="0.3">
      <c r="A45" s="1" t="s">
        <v>29</v>
      </c>
      <c r="B45">
        <v>115</v>
      </c>
      <c r="C45">
        <v>4.2</v>
      </c>
      <c r="D45">
        <v>33</v>
      </c>
      <c r="E45">
        <v>77900</v>
      </c>
      <c r="F45">
        <v>3.9</v>
      </c>
      <c r="G45">
        <v>1054</v>
      </c>
      <c r="H45">
        <v>34</v>
      </c>
      <c r="I45">
        <v>39</v>
      </c>
      <c r="J45">
        <v>104</v>
      </c>
      <c r="K45" t="s">
        <v>0</v>
      </c>
      <c r="L45" t="s">
        <v>82</v>
      </c>
    </row>
    <row r="46" spans="1:12" x14ac:dyDescent="0.3">
      <c r="A46" s="1" t="s">
        <v>25</v>
      </c>
      <c r="B46">
        <v>91</v>
      </c>
      <c r="C46">
        <v>4.9000000000000004</v>
      </c>
      <c r="D46">
        <v>37</v>
      </c>
      <c r="E46">
        <v>48900</v>
      </c>
      <c r="F46">
        <v>4.0999999999999996</v>
      </c>
      <c r="G46">
        <v>3254</v>
      </c>
      <c r="H46">
        <v>2</v>
      </c>
      <c r="I46">
        <v>39</v>
      </c>
      <c r="J46">
        <v>124</v>
      </c>
      <c r="K46" t="s">
        <v>0</v>
      </c>
      <c r="L46" t="s">
        <v>82</v>
      </c>
    </row>
    <row r="47" spans="1:12" x14ac:dyDescent="0.3">
      <c r="A47" s="1" t="s">
        <v>28</v>
      </c>
      <c r="B47">
        <v>84</v>
      </c>
      <c r="C47">
        <v>4.3</v>
      </c>
      <c r="D47">
        <v>34</v>
      </c>
      <c r="E47">
        <v>41200</v>
      </c>
      <c r="F47">
        <v>3.3</v>
      </c>
      <c r="G47">
        <v>1803</v>
      </c>
      <c r="H47">
        <v>26</v>
      </c>
      <c r="I47">
        <v>24</v>
      </c>
      <c r="J47">
        <v>94</v>
      </c>
      <c r="K47" t="s">
        <v>11</v>
      </c>
      <c r="L47" t="s">
        <v>82</v>
      </c>
    </row>
    <row r="48" spans="1:12" x14ac:dyDescent="0.3">
      <c r="A48" s="1" t="s">
        <v>21</v>
      </c>
      <c r="B48">
        <v>76</v>
      </c>
      <c r="C48">
        <v>5.7</v>
      </c>
      <c r="D48">
        <v>41</v>
      </c>
      <c r="E48">
        <v>33400</v>
      </c>
      <c r="F48">
        <v>3.6</v>
      </c>
      <c r="G48">
        <v>1971</v>
      </c>
      <c r="H48">
        <v>19</v>
      </c>
      <c r="I48">
        <v>16</v>
      </c>
      <c r="J48">
        <v>110</v>
      </c>
      <c r="K48" t="s">
        <v>11</v>
      </c>
      <c r="L48" t="s">
        <v>82</v>
      </c>
    </row>
    <row r="49" spans="1:12" x14ac:dyDescent="0.3">
      <c r="A49" s="1" t="s">
        <v>23</v>
      </c>
      <c r="B49">
        <v>63</v>
      </c>
      <c r="C49">
        <v>5.4</v>
      </c>
      <c r="D49">
        <v>39</v>
      </c>
      <c r="E49">
        <v>26600</v>
      </c>
      <c r="F49">
        <v>3.2</v>
      </c>
      <c r="G49">
        <v>2569</v>
      </c>
      <c r="H49">
        <v>4</v>
      </c>
      <c r="I49">
        <v>9</v>
      </c>
      <c r="J49">
        <v>237</v>
      </c>
      <c r="K49" t="s">
        <v>11</v>
      </c>
      <c r="L49" t="s">
        <v>82</v>
      </c>
    </row>
    <row r="50" spans="1:12" x14ac:dyDescent="0.3">
      <c r="A50" s="1" t="s">
        <v>22</v>
      </c>
      <c r="B50">
        <v>63</v>
      </c>
      <c r="C50">
        <v>5.5</v>
      </c>
      <c r="D50">
        <v>40</v>
      </c>
      <c r="E50">
        <v>45600</v>
      </c>
      <c r="F50">
        <v>3.5</v>
      </c>
      <c r="G50">
        <v>1515</v>
      </c>
      <c r="H50">
        <v>32</v>
      </c>
      <c r="I50">
        <v>14</v>
      </c>
      <c r="J50">
        <v>112</v>
      </c>
      <c r="K50" t="s">
        <v>11</v>
      </c>
      <c r="L50" t="s">
        <v>82</v>
      </c>
    </row>
    <row r="51" spans="1:12" x14ac:dyDescent="0.3">
      <c r="A51" s="1" t="s">
        <v>24</v>
      </c>
      <c r="B51">
        <v>48</v>
      </c>
      <c r="C51">
        <v>5.2</v>
      </c>
      <c r="D51">
        <v>38</v>
      </c>
      <c r="E51">
        <v>24300</v>
      </c>
      <c r="F51">
        <v>3.9</v>
      </c>
      <c r="G51">
        <v>2565</v>
      </c>
      <c r="H51">
        <v>5</v>
      </c>
      <c r="I51">
        <v>9</v>
      </c>
      <c r="J51">
        <v>128</v>
      </c>
      <c r="K51" t="s">
        <v>11</v>
      </c>
      <c r="L51" t="s">
        <v>82</v>
      </c>
    </row>
    <row r="52" spans="1:12" x14ac:dyDescent="0.3">
      <c r="A52" s="1" t="s">
        <v>26</v>
      </c>
      <c r="B52">
        <v>39</v>
      </c>
      <c r="C52">
        <v>4.8</v>
      </c>
      <c r="D52">
        <v>35</v>
      </c>
      <c r="E52">
        <v>19900</v>
      </c>
      <c r="F52">
        <v>3.9</v>
      </c>
      <c r="G52">
        <v>998</v>
      </c>
      <c r="H52">
        <v>37</v>
      </c>
      <c r="I52">
        <v>9</v>
      </c>
      <c r="J52">
        <v>191</v>
      </c>
      <c r="K52" t="s">
        <v>0</v>
      </c>
      <c r="L52" t="s">
        <v>82</v>
      </c>
    </row>
  </sheetData>
  <sortState xmlns:xlrd2="http://schemas.microsoft.com/office/spreadsheetml/2017/richdata2" ref="A2:K52">
    <sortCondition descending="1" ref="B1:B52"/>
  </sortState>
  <dataConsolidate/>
  <pageMargins left="0.7" right="0.7" top="0.75" bottom="0.75" header="0.3" footer="0.3"/>
  <drawing r:id="rId1"/>
  <tableParts count="1">
    <tablePart r:id="rId2"/>
  </tableParts>
  <extLst>
    <ext xmlns:x15="http://schemas.microsoft.com/office/spreadsheetml/2010/11/main" uri="{F7C9EE02-42E1-4005-9D12-6889AFFD525C}">
      <x15:webExtensions xmlns:xm="http://schemas.microsoft.com/office/excel/2006/main">
        <x15:webExtension appRef="{5F4804C0-A7A4-4F20-BF47-60ED23DABC48}">
          <xm:f>'Cleaned Data'!1:1048576</xm:f>
        </x15:webExtension>
        <x15:webExtension appRef="{D932D704-1B5C-4CFF-AD76-F6E5C8EDAF39}">
          <xm:f>'Cleaned Data'!$G$2:$G$52</xm:f>
        </x15:webExtension>
        <x15:webExtension appRef="{ECB4127F-7F27-45DD-8723-19A0AFB1D29D}">
          <xm:f>'Cleaned Data'!$G$55:$I$73</xm:f>
        </x15:webExtension>
      </x15:webExtens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7A07D-9E53-4513-95DC-09272ECBEBE6}">
  <dimension ref="A1:J10"/>
  <sheetViews>
    <sheetView tabSelected="1" workbookViewId="0">
      <selection activeCell="B3" sqref="B3:J10"/>
    </sheetView>
  </sheetViews>
  <sheetFormatPr defaultRowHeight="14.4" x14ac:dyDescent="0.3"/>
  <cols>
    <col min="1" max="1" width="5.5546875" bestFit="1" customWidth="1"/>
    <col min="2" max="2" width="25.5546875" bestFit="1" customWidth="1"/>
    <col min="3" max="3" width="22" bestFit="1" customWidth="1"/>
    <col min="4" max="4" width="25.6640625" bestFit="1" customWidth="1"/>
    <col min="5" max="5" width="32.5546875" bestFit="1" customWidth="1"/>
    <col min="6" max="6" width="26.77734375" bestFit="1" customWidth="1"/>
    <col min="7" max="7" width="28.33203125" bestFit="1" customWidth="1"/>
    <col min="8" max="8" width="24" bestFit="1" customWidth="1"/>
    <col min="9" max="9" width="12" bestFit="1" customWidth="1"/>
    <col min="10" max="10" width="37.21875" bestFit="1" customWidth="1"/>
  </cols>
  <sheetData>
    <row r="1" spans="1:10" s="8" customFormat="1" ht="15.6" x14ac:dyDescent="0.3">
      <c r="A1" s="9"/>
      <c r="B1" s="10" t="s">
        <v>1</v>
      </c>
      <c r="C1" s="10" t="s">
        <v>2</v>
      </c>
      <c r="D1" s="10" t="s">
        <v>3</v>
      </c>
      <c r="E1" s="10" t="s">
        <v>4</v>
      </c>
      <c r="F1" s="10" t="s">
        <v>5</v>
      </c>
      <c r="G1" s="10" t="s">
        <v>6</v>
      </c>
      <c r="H1" s="10" t="s">
        <v>7</v>
      </c>
      <c r="I1" s="10" t="s">
        <v>8</v>
      </c>
      <c r="J1" s="11" t="s">
        <v>9</v>
      </c>
    </row>
    <row r="2" spans="1:10" x14ac:dyDescent="0.3">
      <c r="A2" s="12"/>
      <c r="J2" s="13"/>
    </row>
    <row r="3" spans="1:10" x14ac:dyDescent="0.3">
      <c r="A3" s="22" t="s">
        <v>66</v>
      </c>
      <c r="B3">
        <v>51</v>
      </c>
      <c r="C3">
        <v>51</v>
      </c>
      <c r="D3">
        <v>50</v>
      </c>
      <c r="E3">
        <v>42</v>
      </c>
      <c r="F3">
        <v>43</v>
      </c>
      <c r="G3">
        <v>50</v>
      </c>
      <c r="H3">
        <v>50</v>
      </c>
      <c r="I3">
        <v>49</v>
      </c>
      <c r="J3" s="13">
        <v>50</v>
      </c>
    </row>
    <row r="4" spans="1:10" x14ac:dyDescent="0.3">
      <c r="A4" s="22" t="s">
        <v>67</v>
      </c>
      <c r="B4">
        <v>181.2745098039216</v>
      </c>
      <c r="C4">
        <v>4.3000000000000007</v>
      </c>
      <c r="D4">
        <v>25.1</v>
      </c>
      <c r="E4">
        <v>64178.571428571428</v>
      </c>
      <c r="F4">
        <v>3.6209302325581398</v>
      </c>
      <c r="G4">
        <v>1727.88</v>
      </c>
      <c r="H4">
        <v>25.5</v>
      </c>
      <c r="I4">
        <v>38.979591836734691</v>
      </c>
      <c r="J4" s="13">
        <v>123.88</v>
      </c>
    </row>
    <row r="5" spans="1:10" x14ac:dyDescent="0.3">
      <c r="A5" s="22" t="s">
        <v>68</v>
      </c>
      <c r="B5">
        <v>641.61904829677155</v>
      </c>
      <c r="C5">
        <v>2.7635484435775681</v>
      </c>
      <c r="D5">
        <v>14.733344106869581</v>
      </c>
      <c r="E5">
        <v>61912.808618896779</v>
      </c>
      <c r="F5">
        <v>0.70998260861828211</v>
      </c>
      <c r="G5">
        <v>963.37770243608009</v>
      </c>
      <c r="H5">
        <v>14.577379737113249</v>
      </c>
      <c r="I5">
        <v>38.594305385163572</v>
      </c>
      <c r="J5" s="13">
        <v>73.311646762437462</v>
      </c>
    </row>
    <row r="6" spans="1:10" x14ac:dyDescent="0.3">
      <c r="A6" s="22" t="s">
        <v>69</v>
      </c>
      <c r="B6">
        <v>8</v>
      </c>
      <c r="C6">
        <v>1.4</v>
      </c>
      <c r="D6">
        <v>1</v>
      </c>
      <c r="E6">
        <v>6500</v>
      </c>
      <c r="F6">
        <v>2.2999999999999998</v>
      </c>
      <c r="G6">
        <v>363</v>
      </c>
      <c r="H6">
        <v>1</v>
      </c>
      <c r="I6">
        <v>5</v>
      </c>
      <c r="J6" s="13">
        <v>31</v>
      </c>
    </row>
    <row r="7" spans="1:10" x14ac:dyDescent="0.3">
      <c r="A7" s="22" t="s">
        <v>70</v>
      </c>
      <c r="B7">
        <v>39</v>
      </c>
      <c r="C7">
        <v>2.6</v>
      </c>
      <c r="D7">
        <v>12</v>
      </c>
      <c r="E7">
        <v>26875</v>
      </c>
      <c r="F7">
        <v>3.15</v>
      </c>
      <c r="G7">
        <v>996.5</v>
      </c>
      <c r="H7">
        <v>13.25</v>
      </c>
      <c r="I7">
        <v>9</v>
      </c>
      <c r="J7" s="13">
        <v>85</v>
      </c>
    </row>
    <row r="8" spans="1:10" x14ac:dyDescent="0.3">
      <c r="A8" s="22" t="s">
        <v>71</v>
      </c>
      <c r="B8">
        <v>70</v>
      </c>
      <c r="C8">
        <v>3.5</v>
      </c>
      <c r="D8">
        <v>25</v>
      </c>
      <c r="E8">
        <v>47250</v>
      </c>
      <c r="F8">
        <v>3.5</v>
      </c>
      <c r="G8">
        <v>1812</v>
      </c>
      <c r="H8">
        <v>25.5</v>
      </c>
      <c r="I8">
        <v>26</v>
      </c>
      <c r="J8" s="13">
        <v>111.5</v>
      </c>
    </row>
    <row r="9" spans="1:10" x14ac:dyDescent="0.3">
      <c r="A9" s="22" t="s">
        <v>72</v>
      </c>
      <c r="B9">
        <v>114.5</v>
      </c>
      <c r="C9">
        <v>5.0500000000000007</v>
      </c>
      <c r="D9">
        <v>37.75</v>
      </c>
      <c r="E9">
        <v>75625</v>
      </c>
      <c r="F9">
        <v>3.95</v>
      </c>
      <c r="G9">
        <v>2120.5</v>
      </c>
      <c r="H9">
        <v>37.75</v>
      </c>
      <c r="I9">
        <v>53</v>
      </c>
      <c r="J9" s="13">
        <v>134</v>
      </c>
    </row>
    <row r="10" spans="1:10" x14ac:dyDescent="0.3">
      <c r="A10" s="23" t="s">
        <v>73</v>
      </c>
      <c r="B10" s="14">
        <v>4628</v>
      </c>
      <c r="C10" s="14">
        <v>17.7</v>
      </c>
      <c r="D10" s="14">
        <v>50</v>
      </c>
      <c r="E10" s="14">
        <v>345400</v>
      </c>
      <c r="F10" s="14">
        <v>5.6</v>
      </c>
      <c r="G10" s="14">
        <v>6422</v>
      </c>
      <c r="H10" s="14">
        <v>50</v>
      </c>
      <c r="I10" s="14">
        <v>216</v>
      </c>
      <c r="J10" s="15">
        <v>521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5A077-3D79-4FB0-98CB-F60BB749B23C}">
  <dimension ref="A1:J19"/>
  <sheetViews>
    <sheetView workbookViewId="0">
      <selection activeCell="A31" sqref="A31"/>
    </sheetView>
  </sheetViews>
  <sheetFormatPr defaultRowHeight="14.4" x14ac:dyDescent="0.3"/>
  <cols>
    <col min="1" max="1" width="32.21875" style="21" bestFit="1" customWidth="1"/>
    <col min="2" max="2" width="23.109375" bestFit="1" customWidth="1"/>
    <col min="3" max="3" width="20" bestFit="1" customWidth="1"/>
    <col min="4" max="4" width="23.33203125" bestFit="1" customWidth="1"/>
    <col min="5" max="5" width="29" bestFit="1" customWidth="1"/>
    <col min="6" max="6" width="24" bestFit="1" customWidth="1"/>
    <col min="7" max="7" width="25.44140625" bestFit="1" customWidth="1"/>
    <col min="8" max="8" width="21.5546875" bestFit="1" customWidth="1"/>
    <col min="9" max="9" width="9.77734375" bestFit="1" customWidth="1"/>
    <col min="10" max="10" width="33" bestFit="1" customWidth="1"/>
  </cols>
  <sheetData>
    <row r="1" spans="1:10" ht="21" x14ac:dyDescent="0.4">
      <c r="B1" s="20" t="s">
        <v>80</v>
      </c>
    </row>
    <row r="3" spans="1:10" s="19" customFormat="1" x14ac:dyDescent="0.3">
      <c r="A3" s="21"/>
      <c r="B3" s="19" t="s">
        <v>1</v>
      </c>
      <c r="C3" s="19" t="s">
        <v>2</v>
      </c>
      <c r="D3" s="19" t="s">
        <v>3</v>
      </c>
      <c r="E3" s="19" t="s">
        <v>4</v>
      </c>
      <c r="F3" s="19" t="s">
        <v>5</v>
      </c>
      <c r="G3" s="19" t="s">
        <v>6</v>
      </c>
      <c r="H3" s="19" t="s">
        <v>7</v>
      </c>
      <c r="I3" s="19" t="s">
        <v>8</v>
      </c>
      <c r="J3" s="19" t="s">
        <v>9</v>
      </c>
    </row>
    <row r="5" spans="1:10" x14ac:dyDescent="0.3">
      <c r="A5" s="21" t="s">
        <v>1</v>
      </c>
      <c r="B5" s="18">
        <v>1</v>
      </c>
      <c r="C5" s="18">
        <v>-6.0741778266028078E-2</v>
      </c>
      <c r="D5" s="18">
        <v>-5.1461440265349989E-2</v>
      </c>
      <c r="E5" s="18">
        <v>0.85650456207245795</v>
      </c>
      <c r="F5" s="18">
        <v>-9.9324822006662039E-2</v>
      </c>
      <c r="G5" s="18">
        <v>0.36684551703036961</v>
      </c>
      <c r="H5" s="18">
        <v>-0.19614622305453741</v>
      </c>
      <c r="I5" s="18">
        <v>0.71329128183675627</v>
      </c>
      <c r="J5" s="18">
        <v>9.5607487379150841E-2</v>
      </c>
    </row>
    <row r="6" spans="1:10" x14ac:dyDescent="0.3">
      <c r="A6" s="21" t="s">
        <v>2</v>
      </c>
      <c r="B6" s="18">
        <v>-6.0741778266028078E-2</v>
      </c>
      <c r="C6" s="18">
        <v>1</v>
      </c>
      <c r="D6" s="18">
        <v>0.78915716870318109</v>
      </c>
      <c r="E6" s="18">
        <v>-0.3688770795537259</v>
      </c>
      <c r="F6" s="18">
        <v>0.19976516226048491</v>
      </c>
      <c r="G6" s="18">
        <v>0.124127471817291</v>
      </c>
      <c r="H6" s="18">
        <v>-0.16323921595540211</v>
      </c>
      <c r="I6" s="18">
        <v>-0.33979692804903072</v>
      </c>
      <c r="J6" s="18">
        <v>0.12232858307027381</v>
      </c>
    </row>
    <row r="7" spans="1:10" x14ac:dyDescent="0.3">
      <c r="A7" s="21" t="s">
        <v>3</v>
      </c>
      <c r="B7" s="18">
        <v>-5.1461440265349989E-2</v>
      </c>
      <c r="C7" s="18">
        <v>0.78915716870318109</v>
      </c>
      <c r="D7" s="18">
        <v>1</v>
      </c>
      <c r="E7" s="18">
        <v>-0.40069063902030511</v>
      </c>
      <c r="F7" s="18">
        <v>0.207813559551282</v>
      </c>
      <c r="G7" s="18">
        <v>-1.089008572062092E-3</v>
      </c>
      <c r="H7" s="18">
        <v>-7.8440471980433538E-2</v>
      </c>
      <c r="I7" s="18">
        <v>-0.41919433302506048</v>
      </c>
      <c r="J7" s="18">
        <v>0.20195305979886979</v>
      </c>
    </row>
    <row r="8" spans="1:10" x14ac:dyDescent="0.3">
      <c r="A8" s="21" t="s">
        <v>4</v>
      </c>
      <c r="B8" s="18">
        <v>0.85650456207245795</v>
      </c>
      <c r="C8" s="18">
        <v>-0.3688770795537259</v>
      </c>
      <c r="D8" s="18">
        <v>-0.40069063902030511</v>
      </c>
      <c r="E8" s="18">
        <v>1</v>
      </c>
      <c r="F8" s="18">
        <v>-0.26420141877477971</v>
      </c>
      <c r="G8" s="18">
        <v>0.56638165097569304</v>
      </c>
      <c r="H8" s="18">
        <v>-0.27645623152216048</v>
      </c>
      <c r="I8" s="18">
        <v>0.89207847531049145</v>
      </c>
      <c r="J8" s="18">
        <v>0.17512921745832141</v>
      </c>
    </row>
    <row r="9" spans="1:10" x14ac:dyDescent="0.3">
      <c r="A9" s="21" t="s">
        <v>5</v>
      </c>
      <c r="B9" s="18">
        <v>-9.9324822006662039E-2</v>
      </c>
      <c r="C9" s="18">
        <v>0.19976516226048491</v>
      </c>
      <c r="D9" s="18">
        <v>0.207813559551282</v>
      </c>
      <c r="E9" s="18">
        <v>-0.26420141877477971</v>
      </c>
      <c r="F9" s="18">
        <v>1</v>
      </c>
      <c r="G9" s="18">
        <v>-8.6973898491782997E-2</v>
      </c>
      <c r="H9" s="18">
        <v>8.9926358586632643E-2</v>
      </c>
      <c r="I9" s="18">
        <v>-0.2201759712547289</v>
      </c>
      <c r="J9" s="18">
        <v>-0.42202912174390111</v>
      </c>
    </row>
    <row r="10" spans="1:10" x14ac:dyDescent="0.3">
      <c r="A10" s="21" t="s">
        <v>6</v>
      </c>
      <c r="B10" s="18">
        <v>0.36684551703036961</v>
      </c>
      <c r="C10" s="18">
        <v>0.124127471817291</v>
      </c>
      <c r="D10" s="18">
        <v>-1.089008572062092E-3</v>
      </c>
      <c r="E10" s="18">
        <v>0.56638165097569304</v>
      </c>
      <c r="F10" s="18">
        <v>-8.6973898491782997E-2</v>
      </c>
      <c r="G10" s="18">
        <v>1</v>
      </c>
      <c r="H10" s="18">
        <v>-0.84070133261126034</v>
      </c>
      <c r="I10" s="18">
        <v>0.36609931124545442</v>
      </c>
      <c r="J10" s="18">
        <v>0.36500024790056618</v>
      </c>
    </row>
    <row r="11" spans="1:10" x14ac:dyDescent="0.3">
      <c r="A11" s="21" t="s">
        <v>7</v>
      </c>
      <c r="B11" s="18">
        <v>-0.19614622305453741</v>
      </c>
      <c r="C11" s="18">
        <v>-0.16323921595540211</v>
      </c>
      <c r="D11" s="18">
        <v>-7.8440471980433538E-2</v>
      </c>
      <c r="E11" s="18">
        <v>-0.27645623152216048</v>
      </c>
      <c r="F11" s="18">
        <v>8.9926358586632643E-2</v>
      </c>
      <c r="G11" s="18">
        <v>-0.84070133261126034</v>
      </c>
      <c r="H11" s="18">
        <v>1</v>
      </c>
      <c r="I11" s="18">
        <v>-4.7910554930415343E-2</v>
      </c>
      <c r="J11" s="18">
        <v>-0.43260982054201841</v>
      </c>
    </row>
    <row r="12" spans="1:10" x14ac:dyDescent="0.3">
      <c r="A12" s="21" t="s">
        <v>8</v>
      </c>
      <c r="B12" s="18">
        <v>0.71329128183675627</v>
      </c>
      <c r="C12" s="18">
        <v>-0.33979692804903072</v>
      </c>
      <c r="D12" s="18">
        <v>-0.41919433302506048</v>
      </c>
      <c r="E12" s="18">
        <v>0.89207847531049145</v>
      </c>
      <c r="F12" s="18">
        <v>-0.2201759712547289</v>
      </c>
      <c r="G12" s="18">
        <v>0.36609931124545442</v>
      </c>
      <c r="H12" s="18">
        <v>-4.7910554930415343E-2</v>
      </c>
      <c r="I12" s="18">
        <v>1</v>
      </c>
      <c r="J12" s="18">
        <v>4.3559669356640577E-3</v>
      </c>
    </row>
    <row r="13" spans="1:10" x14ac:dyDescent="0.3">
      <c r="A13" s="21" t="s">
        <v>9</v>
      </c>
      <c r="B13" s="18">
        <v>9.5607487379150841E-2</v>
      </c>
      <c r="C13" s="18">
        <v>0.12232858307027381</v>
      </c>
      <c r="D13" s="18">
        <v>0.20195305979886979</v>
      </c>
      <c r="E13" s="18">
        <v>0.17512921745832141</v>
      </c>
      <c r="F13" s="18">
        <v>-0.42202912174390111</v>
      </c>
      <c r="G13" s="18">
        <v>0.36500024790056618</v>
      </c>
      <c r="H13" s="18">
        <v>-0.43260982054201841</v>
      </c>
      <c r="I13" s="18">
        <v>4.3559669356640577E-3</v>
      </c>
      <c r="J13" s="18">
        <v>1</v>
      </c>
    </row>
    <row r="14" spans="1:10" x14ac:dyDescent="0.3">
      <c r="B14" s="16"/>
      <c r="C14" s="16"/>
      <c r="D14" s="16"/>
      <c r="E14" s="16"/>
      <c r="F14" s="16"/>
      <c r="G14" s="16"/>
      <c r="H14" s="16"/>
      <c r="I14" s="16"/>
      <c r="J14" s="16"/>
    </row>
    <row r="18" spans="4:6" x14ac:dyDescent="0.3">
      <c r="D18" s="16"/>
    </row>
    <row r="19" spans="4:6" x14ac:dyDescent="0.3">
      <c r="F19" s="17"/>
    </row>
  </sheetData>
  <conditionalFormatting sqref="A16">
    <cfRule type="colorScale" priority="4">
      <colorScale>
        <cfvo type="min"/>
        <cfvo type="percentile" val="50"/>
        <cfvo type="max"/>
        <color rgb="FF63BE7B"/>
        <color rgb="FFFFEB84"/>
        <color rgb="FFF8696B"/>
      </colorScale>
    </cfRule>
  </conditionalFormatting>
  <conditionalFormatting sqref="A3:J13">
    <cfRule type="colorScale" priority="3">
      <colorScale>
        <cfvo type="min"/>
        <cfvo type="percentile" val="50"/>
        <cfvo type="max"/>
        <color rgb="FF63BE7B"/>
        <color rgb="FFFFEB84"/>
        <color rgb="FFF8696B"/>
      </colorScale>
    </cfRule>
  </conditionalFormatting>
  <conditionalFormatting sqref="B5:J13">
    <cfRule type="colorScale" priority="2">
      <colorScale>
        <cfvo type="min"/>
        <cfvo type="max"/>
        <color rgb="FFFFEF9C"/>
        <color rgb="FF63BE7B"/>
      </colorScale>
    </cfRule>
    <cfRule type="colorScale" priority="1">
      <colorScale>
        <cfvo type="min"/>
        <cfvo type="percentile" val="50"/>
        <cfvo type="max"/>
        <color rgb="FFF8696B"/>
        <color rgb="FFFCFCFF"/>
        <color rgb="FF5A8AC6"/>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Cleaned Data</vt:lpstr>
      <vt:lpstr>Summary statistics</vt:lpstr>
      <vt:lpstr>Correlation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Scott Kurland</cp:lastModifiedBy>
  <dcterms:created xsi:type="dcterms:W3CDTF">2026-03-09T23:15:45Z</dcterms:created>
  <dcterms:modified xsi:type="dcterms:W3CDTF">2026-03-14T20:46:59Z</dcterms:modified>
</cp:coreProperties>
</file>